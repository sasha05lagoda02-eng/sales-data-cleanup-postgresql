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nthly" sheetId="2" state="visible" r:id="rId4"/>
    <sheet name="Categories" sheetId="3" state="visible" r:id="rId5"/>
    <sheet name="Products" sheetId="4" state="visible" r:id="rId6"/>
    <sheet name="Countries" sheetId="5" state="visible" r:id="rId7"/>
    <sheet name="Segments" sheetId="6" state="visible" r:id="rId8"/>
    <sheet name="Data quality" sheetId="7" state="visible" r:id="rId9"/>
  </sheets>
  <definedNames>
    <definedName function="false" hidden="true" localSheetId="3" name="_xlnm._FilterDatabase" vbProcedure="false">Products!$A$4:$G$46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<sst xmlns="http://schemas.openxmlformats.org/spreadsheetml/2006/main" count="317" uniqueCount="243">
  <si>
    <t xml:space="preserve">Sales data cleanup and reporting</t>
  </si>
  <si>
    <t xml:space="preserve">PostgreSQL project on a synthetic e-commerce export. Period: Jan 2024 - Sep 2026. Data extracted 2026-10-06.</t>
  </si>
  <si>
    <t xml:space="preserve">Headline numbers</t>
  </si>
  <si>
    <t xml:space="preserve">Metric</t>
  </si>
  <si>
    <t xml:space="preserve">Value</t>
  </si>
  <si>
    <t xml:space="preserve">How it is calculated</t>
  </si>
  <si>
    <t xml:space="preserve">Revenue (excluding cancelled orders)</t>
  </si>
  <si>
    <t xml:space="preserve">Sum of monthly revenue</t>
  </si>
  <si>
    <t xml:space="preserve">Orders</t>
  </si>
  <si>
    <t xml:space="preserve">Sum of monthly orders</t>
  </si>
  <si>
    <t xml:space="preserve">Units sold</t>
  </si>
  <si>
    <t xml:space="preserve">Sum of monthly units</t>
  </si>
  <si>
    <t xml:space="preserve">Average order value</t>
  </si>
  <si>
    <t xml:space="preserve">Revenue / orders</t>
  </si>
  <si>
    <t xml:space="preserve">Customers</t>
  </si>
  <si>
    <t xml:space="preserve">Sum of customers by country</t>
  </si>
  <si>
    <t xml:space="preserve">Repeat customers, share of customers</t>
  </si>
  <si>
    <t xml:space="preserve">1 - one-time customers / all customers</t>
  </si>
  <si>
    <t xml:space="preserve">Top category, share of revenue</t>
  </si>
  <si>
    <t xml:space="preserve">Largest category share</t>
  </si>
  <si>
    <t xml:space="preserve">Cancelled orders, share of all orders</t>
  </si>
  <si>
    <t xml:space="preserve">7,417 cancelled of 49,702 orders in clean.sales_lines</t>
  </si>
  <si>
    <t xml:space="preserve">Do the reports agree with each other?</t>
  </si>
  <si>
    <t xml:space="preserve">Report</t>
  </si>
  <si>
    <t xml:space="preserve">Revenue total</t>
  </si>
  <si>
    <t xml:space="preserve">Difference vs monthly total</t>
  </si>
  <si>
    <t xml:space="preserve">Monthly</t>
  </si>
  <si>
    <t xml:space="preserve">Categories</t>
  </si>
  <si>
    <t xml:space="preserve">Products</t>
  </si>
  <si>
    <t xml:space="preserve">Countries</t>
  </si>
  <si>
    <t xml:space="preserve">Segments</t>
  </si>
  <si>
    <t xml:space="preserve">Data cleanup in one glance</t>
  </si>
  <si>
    <t xml:space="preserve">Where to look</t>
  </si>
  <si>
    <t xml:space="preserve">Raw rows received</t>
  </si>
  <si>
    <t xml:space="preserve">Data quality, block 1</t>
  </si>
  <si>
    <t xml:space="preserve">Clean rows delivered</t>
  </si>
  <si>
    <t xml:space="preserve">Rows rejected with a reason</t>
  </si>
  <si>
    <t xml:space="preserve">Data quality, block 3</t>
  </si>
  <si>
    <t xml:space="preserve">Rows lost without explanation</t>
  </si>
  <si>
    <t xml:space="preserve">Must be 0</t>
  </si>
  <si>
    <t xml:space="preserve">Cells corrected and logged</t>
  </si>
  <si>
    <t xml:space="preserve">Data quality, block 4</t>
  </si>
  <si>
    <t xml:space="preserve">Verification checks passed</t>
  </si>
  <si>
    <t xml:space="preserve">Out of 11; Data quality, block 5</t>
  </si>
  <si>
    <t xml:space="preserve">Notes</t>
  </si>
  <si>
    <t xml:space="preserve">The dataset is synthetic. It was generated to imitate a messy shop export; no real customers are in it.</t>
  </si>
  <si>
    <t xml:space="preserve">Revenue rule: every order except status 'cancelled'. Unpaid orders with status 'new' are included.</t>
  </si>
  <si>
    <t xml:space="preserve">Rejected rows are kept in clean.rejects with a reason and are not part of any report.</t>
  </si>
  <si>
    <t xml:space="preserve">Monthly sales</t>
  </si>
  <si>
    <t xml:space="preserve">Source: view reports.monthly_kpis (PostgreSQL). Revenue = all orders except cancelled. Average order value and growth are Excel formulas.</t>
  </si>
  <si>
    <t xml:space="preserve">Month</t>
  </si>
  <si>
    <t xml:space="preserve">Revenue</t>
  </si>
  <si>
    <t xml:space="preserve">Units</t>
  </si>
  <si>
    <t xml:space="preserve">Avg order value</t>
  </si>
  <si>
    <t xml:space="preserve">Growth vs previous month</t>
  </si>
  <si>
    <t xml:space="preserve">Total</t>
  </si>
  <si>
    <t xml:space="preserve">Customers are not summed: the same customer buys in several months.</t>
  </si>
  <si>
    <t xml:space="preserve">Sales by category</t>
  </si>
  <si>
    <t xml:space="preserve">Source: view reports.category_sales (PostgreSQL).</t>
  </si>
  <si>
    <t xml:space="preserve">Category</t>
  </si>
  <si>
    <t xml:space="preserve">Share of revenue</t>
  </si>
  <si>
    <t xml:space="preserve">Laptops</t>
  </si>
  <si>
    <t xml:space="preserve">Phones</t>
  </si>
  <si>
    <t xml:space="preserve">Monitors</t>
  </si>
  <si>
    <t xml:space="preserve">Audio</t>
  </si>
  <si>
    <t xml:space="preserve">Smart Home</t>
  </si>
  <si>
    <t xml:space="preserve">Accessories</t>
  </si>
  <si>
    <t xml:space="preserve">Orders are not summed: one order can contain several categories.</t>
  </si>
  <si>
    <t xml:space="preserve">Product ranking inside each category</t>
  </si>
  <si>
    <t xml:space="preserve">Source: view reports.product_ranking (PostgreSQL). Rank and share are Excel formulas.</t>
  </si>
  <si>
    <t xml:space="preserve">SKU</t>
  </si>
  <si>
    <t xml:space="preserve">Product</t>
  </si>
  <si>
    <t xml:space="preserve">Rank in category</t>
  </si>
  <si>
    <t xml:space="preserve">Share of category</t>
  </si>
  <si>
    <t xml:space="preserve">SKU-0041</t>
  </si>
  <si>
    <t xml:space="preserve">Accessories model 7</t>
  </si>
  <si>
    <t xml:space="preserve">SKU-0011</t>
  </si>
  <si>
    <t xml:space="preserve">Accessories model 2</t>
  </si>
  <si>
    <t xml:space="preserve">SKU-0029</t>
  </si>
  <si>
    <t xml:space="preserve">Accessories model 5</t>
  </si>
  <si>
    <t xml:space="preserve">SKU-0023</t>
  </si>
  <si>
    <t xml:space="preserve">Accessories model 4</t>
  </si>
  <si>
    <t xml:space="preserve">SKU-0017</t>
  </si>
  <si>
    <t xml:space="preserve">Accessories model 3</t>
  </si>
  <si>
    <t xml:space="preserve">SKU-0035</t>
  </si>
  <si>
    <t xml:space="preserve">Accessories model 6</t>
  </si>
  <si>
    <t xml:space="preserve">SKU-0005</t>
  </si>
  <si>
    <t xml:space="preserve">Accessories model 1</t>
  </si>
  <si>
    <t xml:space="preserve">SKU-0003</t>
  </si>
  <si>
    <t xml:space="preserve">Audio model 1</t>
  </si>
  <si>
    <t xml:space="preserve">SKU-0027</t>
  </si>
  <si>
    <t xml:space="preserve">Audio model 5</t>
  </si>
  <si>
    <t xml:space="preserve">SKU-0039</t>
  </si>
  <si>
    <t xml:space="preserve">Audio model 7</t>
  </si>
  <si>
    <t xml:space="preserve">SKU-0009</t>
  </si>
  <si>
    <t xml:space="preserve">Audio model 2</t>
  </si>
  <si>
    <t xml:space="preserve">SKU-0021</t>
  </si>
  <si>
    <t xml:space="preserve">Audio model 4</t>
  </si>
  <si>
    <t xml:space="preserve">SKU-0033</t>
  </si>
  <si>
    <t xml:space="preserve">Audio model 6</t>
  </si>
  <si>
    <t xml:space="preserve">SKU-0015</t>
  </si>
  <si>
    <t xml:space="preserve">Audio model 3</t>
  </si>
  <si>
    <t xml:space="preserve">SKU-0025</t>
  </si>
  <si>
    <t xml:space="preserve">Laptops model 5</t>
  </si>
  <si>
    <t xml:space="preserve">SKU-0037</t>
  </si>
  <si>
    <t xml:space="preserve">Laptops model 7</t>
  </si>
  <si>
    <t xml:space="preserve">SKU-0013</t>
  </si>
  <si>
    <t xml:space="preserve">Laptops model 3</t>
  </si>
  <si>
    <t xml:space="preserve">SKU-0001</t>
  </si>
  <si>
    <t xml:space="preserve">Laptops model 1</t>
  </si>
  <si>
    <t xml:space="preserve">SKU-0007</t>
  </si>
  <si>
    <t xml:space="preserve">Laptops model 2</t>
  </si>
  <si>
    <t xml:space="preserve">SKU-0031</t>
  </si>
  <si>
    <t xml:space="preserve">Laptops model 6</t>
  </si>
  <si>
    <t xml:space="preserve">SKU-0019</t>
  </si>
  <si>
    <t xml:space="preserve">Laptops model 4</t>
  </si>
  <si>
    <t xml:space="preserve">SKU-0010</t>
  </si>
  <si>
    <t xml:space="preserve">Monitors model 2</t>
  </si>
  <si>
    <t xml:space="preserve">SKU-0034</t>
  </si>
  <si>
    <t xml:space="preserve">Monitors model 6</t>
  </si>
  <si>
    <t xml:space="preserve">SKU-0028</t>
  </si>
  <si>
    <t xml:space="preserve">Monitors model 5</t>
  </si>
  <si>
    <t xml:space="preserve">SKU-0022</t>
  </si>
  <si>
    <t xml:space="preserve">Monitors model 4</t>
  </si>
  <si>
    <t xml:space="preserve">SKU-0016</t>
  </si>
  <si>
    <t xml:space="preserve">Monitors model 3</t>
  </si>
  <si>
    <t xml:space="preserve">SKU-0040</t>
  </si>
  <si>
    <t xml:space="preserve">Monitors model 7</t>
  </si>
  <si>
    <t xml:space="preserve">SKU-0004</t>
  </si>
  <si>
    <t xml:space="preserve">Monitors model 1</t>
  </si>
  <si>
    <t xml:space="preserve">SKU-0038</t>
  </si>
  <si>
    <t xml:space="preserve">Phones model 7</t>
  </si>
  <si>
    <t xml:space="preserve">SKU-0026</t>
  </si>
  <si>
    <t xml:space="preserve">Phones model 5</t>
  </si>
  <si>
    <t xml:space="preserve">SKU-0014</t>
  </si>
  <si>
    <t xml:space="preserve">Phones model 3</t>
  </si>
  <si>
    <t xml:space="preserve">SKU-0020</t>
  </si>
  <si>
    <t xml:space="preserve">Phones model 4</t>
  </si>
  <si>
    <t xml:space="preserve">SKU-0032</t>
  </si>
  <si>
    <t xml:space="preserve">Phones model 6</t>
  </si>
  <si>
    <t xml:space="preserve">SKU-0008</t>
  </si>
  <si>
    <t xml:space="preserve">Phones model 2</t>
  </si>
  <si>
    <t xml:space="preserve">SKU-0002</t>
  </si>
  <si>
    <t xml:space="preserve">Phones model 1</t>
  </si>
  <si>
    <t xml:space="preserve">SKU-0012</t>
  </si>
  <si>
    <t xml:space="preserve">Smart Home model 2</t>
  </si>
  <si>
    <t xml:space="preserve">SKU-0018</t>
  </si>
  <si>
    <t xml:space="preserve">Smart Home model 3</t>
  </si>
  <si>
    <t xml:space="preserve">SKU-0030</t>
  </si>
  <si>
    <t xml:space="preserve">Smart Home model 5</t>
  </si>
  <si>
    <t xml:space="preserve">SKU-0024</t>
  </si>
  <si>
    <t xml:space="preserve">Smart Home model 4</t>
  </si>
  <si>
    <t xml:space="preserve">SKU-0006</t>
  </si>
  <si>
    <t xml:space="preserve">Smart Home model 1</t>
  </si>
  <si>
    <t xml:space="preserve">SKU-0036</t>
  </si>
  <si>
    <t xml:space="preserve">Smart Home model 6</t>
  </si>
  <si>
    <t xml:space="preserve">SKU-0042</t>
  </si>
  <si>
    <t xml:space="preserve">Smart Home model 7</t>
  </si>
  <si>
    <t xml:space="preserve">Sales by country</t>
  </si>
  <si>
    <t xml:space="preserve">Source: view reports.country_sales (PostgreSQL).</t>
  </si>
  <si>
    <t xml:space="preserve">Country</t>
  </si>
  <si>
    <t xml:space="preserve">Poland</t>
  </si>
  <si>
    <t xml:space="preserve">Germany</t>
  </si>
  <si>
    <t xml:space="preserve">Ukraine</t>
  </si>
  <si>
    <t xml:space="preserve">Spain</t>
  </si>
  <si>
    <t xml:space="preserve">Netherlands</t>
  </si>
  <si>
    <t xml:space="preserve">Czechia</t>
  </si>
  <si>
    <t xml:space="preserve">Customer segments by number of orders</t>
  </si>
  <si>
    <t xml:space="preserve">Source: view reports.customer_segments (PostgreSQL).</t>
  </si>
  <si>
    <t xml:space="preserve">Segment</t>
  </si>
  <si>
    <t xml:space="preserve">Share of customers</t>
  </si>
  <si>
    <t xml:space="preserve">Revenue per customer</t>
  </si>
  <si>
    <t xml:space="preserve">One-time (1 order)</t>
  </si>
  <si>
    <t xml:space="preserve">Repeat (2-5 orders)</t>
  </si>
  <si>
    <t xml:space="preserve">Loyal (6+ orders)</t>
  </si>
  <si>
    <t xml:space="preserve">Data cleanup: before, after and proof</t>
  </si>
  <si>
    <t xml:space="preserve">Sources: 01_data_audit.sql, 02_cleanup.sql, 03_verification.sql. Raw table: raw.sales_export.</t>
  </si>
  <si>
    <t xml:space="preserve">1. Row reconciliation</t>
  </si>
  <si>
    <t xml:space="preserve">Rows</t>
  </si>
  <si>
    <t xml:space="preserve">Raw rows in the export</t>
  </si>
  <si>
    <t xml:space="preserve">Clean rows kept</t>
  </si>
  <si>
    <t xml:space="preserve">Rejected rows (with a reason)</t>
  </si>
  <si>
    <t xml:space="preserve">Raw - clean - rejected (must be 0)</t>
  </si>
  <si>
    <t xml:space="preserve">2. Problems found in the raw export</t>
  </si>
  <si>
    <t xml:space="preserve">Check</t>
  </si>
  <si>
    <t xml:space="preserve">Rows affected</t>
  </si>
  <si>
    <t xml:space="preserve">Share of raw rows</t>
  </si>
  <si>
    <t xml:space="preserve">Exact duplicate rows (extra copies)</t>
  </si>
  <si>
    <t xml:space="preserve">Customer email missing</t>
  </si>
  <si>
    <t xml:space="preserve">Customer email not normalized</t>
  </si>
  <si>
    <t xml:space="preserve">Country not in standard list</t>
  </si>
  <si>
    <t xml:space="preserve">City missing</t>
  </si>
  <si>
    <t xml:space="preserve">Status not in standard list</t>
  </si>
  <si>
    <t xml:space="preserve">Order date not parseable</t>
  </si>
  <si>
    <t xml:space="preserve">Order date not in ISO format</t>
  </si>
  <si>
    <t xml:space="preserve">Order date in the future</t>
  </si>
  <si>
    <t xml:space="preserve">Unit price not a plain number</t>
  </si>
  <si>
    <t xml:space="preserve">Quantity missing or not positive</t>
  </si>
  <si>
    <t xml:space="preserve">SKU not in product master</t>
  </si>
  <si>
    <t xml:space="preserve">Product name differs from master</t>
  </si>
  <si>
    <t xml:space="preserve">Category missing</t>
  </si>
  <si>
    <t xml:space="preserve">One row can have several problems, so this column is not summed.</t>
  </si>
  <si>
    <t xml:space="preserve">3. Rejected rows by reason</t>
  </si>
  <si>
    <t xml:space="preserve">Reason</t>
  </si>
  <si>
    <t xml:space="preserve">Exact duplicate of an earlier row</t>
  </si>
  <si>
    <t xml:space="preserve">Customer email missing, not recoverable from the order</t>
  </si>
  <si>
    <t xml:space="preserve">Total rejected</t>
  </si>
  <si>
    <t xml:space="preserve">4. Change log: cells corrected in the clean data</t>
  </si>
  <si>
    <t xml:space="preserve">Column</t>
  </si>
  <si>
    <t xml:space="preserve">Cells changed</t>
  </si>
  <si>
    <t xml:space="preserve">Rule applied</t>
  </si>
  <si>
    <t xml:space="preserve">status</t>
  </si>
  <si>
    <t xml:space="preserve">trim, lowercase, canceled -&gt; cancelled</t>
  </si>
  <si>
    <t xml:space="preserve">country</t>
  </si>
  <si>
    <t xml:space="preserve">mapped to standard country name</t>
  </si>
  <si>
    <t xml:space="preserve">order_date</t>
  </si>
  <si>
    <t xml:space="preserve">converted to ISO timestamp</t>
  </si>
  <si>
    <t xml:space="preserve">customer_email</t>
  </si>
  <si>
    <t xml:space="preserve">trim, lowercase</t>
  </si>
  <si>
    <t xml:space="preserve">unit_price</t>
  </si>
  <si>
    <t xml:space="preserve">removed currency symbol / decimal comma</t>
  </si>
  <si>
    <t xml:space="preserve">product_name</t>
  </si>
  <si>
    <t xml:space="preserve">replaced with product master name</t>
  </si>
  <si>
    <t xml:space="preserve">city</t>
  </si>
  <si>
    <t xml:space="preserve">blank converted to NULL</t>
  </si>
  <si>
    <t xml:space="preserve">category</t>
  </si>
  <si>
    <t xml:space="preserve">filled from product master</t>
  </si>
  <si>
    <t xml:space="preserve">filled from another line of the same order</t>
  </si>
  <si>
    <t xml:space="preserve">Total cells changed</t>
  </si>
  <si>
    <t xml:space="preserve">5. Verification after cleanup</t>
  </si>
  <si>
    <t xml:space="preserve">Violations</t>
  </si>
  <si>
    <t xml:space="preserve">Result</t>
  </si>
  <si>
    <t xml:space="preserve">Row count: raw = clean + rejected</t>
  </si>
  <si>
    <t xml:space="preserve">No row is both clean and rejected</t>
  </si>
  <si>
    <t xml:space="preserve">No duplicate lines in clean data</t>
  </si>
  <si>
    <t xml:space="preserve">Emails are trimmed and lowercase</t>
  </si>
  <si>
    <t xml:space="preserve">Country is in the standard list</t>
  </si>
  <si>
    <t xml:space="preserve">No order dates in the future</t>
  </si>
  <si>
    <t xml:space="preserve">Product name and category match the product master</t>
  </si>
  <si>
    <t xml:space="preserve">One email, status and date per order</t>
  </si>
  <si>
    <t xml:space="preserve">Every change log entry points to a clean row</t>
  </si>
  <si>
    <t xml:space="preserve">Control total: clean revenue = revenue recomputed from raw text</t>
  </si>
  <si>
    <t xml:space="preserve">Control total: sum by month = sum by category = grand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</si>
</sst>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0.00%"/>
    <numFmt numFmtId="168" formatCode="mmm\ yyyy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937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5803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21960">
              <a:solidFill>
                <a:srgbClr val="2563e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Monthly!$A$5:$A$37</c:f>
              <c:strCache>
                <c:ptCount val="33"/>
                <c:pt idx="0">
                  <c:v>Jan 2024</c:v>
                </c:pt>
                <c:pt idx="1">
                  <c:v>Feb 2024</c:v>
                </c:pt>
                <c:pt idx="2">
                  <c:v>Mar 2024</c:v>
                </c:pt>
                <c:pt idx="3">
                  <c:v>Apr 2024</c:v>
                </c:pt>
                <c:pt idx="4">
                  <c:v>May 2024</c:v>
                </c:pt>
                <c:pt idx="5">
                  <c:v>Jun 2024</c:v>
                </c:pt>
                <c:pt idx="6">
                  <c:v>Jul 2024</c:v>
                </c:pt>
                <c:pt idx="7">
                  <c:v>Aug 2024</c:v>
                </c:pt>
                <c:pt idx="8">
                  <c:v>Sep 2024</c:v>
                </c:pt>
                <c:pt idx="9">
                  <c:v>Oct 2024</c:v>
                </c:pt>
                <c:pt idx="10">
                  <c:v>Nov 2024</c:v>
                </c:pt>
                <c:pt idx="11">
                  <c:v>Dec 2024</c:v>
                </c:pt>
                <c:pt idx="12">
                  <c:v>Jan 2025</c:v>
                </c:pt>
                <c:pt idx="13">
                  <c:v>Feb 2025</c:v>
                </c:pt>
                <c:pt idx="14">
                  <c:v>Mar 2025</c:v>
                </c:pt>
                <c:pt idx="15">
                  <c:v>Apr 2025</c:v>
                </c:pt>
                <c:pt idx="16">
                  <c:v>May 2025</c:v>
                </c:pt>
                <c:pt idx="17">
                  <c:v>Jun 2025</c:v>
                </c:pt>
                <c:pt idx="18">
                  <c:v>Jul 2025</c:v>
                </c:pt>
                <c:pt idx="19">
                  <c:v>Aug 2025</c:v>
                </c:pt>
                <c:pt idx="20">
                  <c:v>Sep 2025</c:v>
                </c:pt>
                <c:pt idx="21">
                  <c:v>Oct 2025</c:v>
                </c:pt>
                <c:pt idx="22">
                  <c:v>Nov 2025</c:v>
                </c:pt>
                <c:pt idx="23">
                  <c:v>Dec 2025</c:v>
                </c:pt>
                <c:pt idx="24">
                  <c:v>Jan 2026</c:v>
                </c:pt>
                <c:pt idx="25">
                  <c:v>Feb 2026</c:v>
                </c:pt>
                <c:pt idx="26">
                  <c:v>Mar 2026</c:v>
                </c:pt>
                <c:pt idx="27">
                  <c:v>Apr 2026</c:v>
                </c:pt>
                <c:pt idx="28">
                  <c:v>May 2026</c:v>
                </c:pt>
                <c:pt idx="29">
                  <c:v>Jun 2026</c:v>
                </c:pt>
                <c:pt idx="30">
                  <c:v>Jul 2026</c:v>
                </c:pt>
                <c:pt idx="31">
                  <c:v>Aug 2026</c:v>
                </c:pt>
                <c:pt idx="32">
                  <c:v>Sep 2026</c:v>
                </c:pt>
              </c:strCache>
            </c:strRef>
          </c:cat>
          <c:val>
            <c:numRef>
              <c:f>Monthly!$B$5:$B$37</c:f>
              <c:numCache>
                <c:formatCode>#,##0.00</c:formatCode>
                <c:ptCount val="33"/>
                <c:pt idx="0">
                  <c:v>8860864.52</c:v>
                </c:pt>
                <c:pt idx="1">
                  <c:v>8268870.69</c:v>
                </c:pt>
                <c:pt idx="2">
                  <c:v>9326088.16</c:v>
                </c:pt>
                <c:pt idx="3">
                  <c:v>8807429.44</c:v>
                </c:pt>
                <c:pt idx="4">
                  <c:v>9263004.45</c:v>
                </c:pt>
                <c:pt idx="5">
                  <c:v>8808141.21</c:v>
                </c:pt>
                <c:pt idx="6">
                  <c:v>9015219.5</c:v>
                </c:pt>
                <c:pt idx="7">
                  <c:v>9234290.9</c:v>
                </c:pt>
                <c:pt idx="8">
                  <c:v>8704798.07</c:v>
                </c:pt>
                <c:pt idx="9">
                  <c:v>8774614.52</c:v>
                </c:pt>
                <c:pt idx="10">
                  <c:v>8685499.45</c:v>
                </c:pt>
                <c:pt idx="11">
                  <c:v>9498424.1</c:v>
                </c:pt>
                <c:pt idx="12">
                  <c:v>9256752.67</c:v>
                </c:pt>
                <c:pt idx="13">
                  <c:v>8403658.24</c:v>
                </c:pt>
                <c:pt idx="14">
                  <c:v>8901896.11</c:v>
                </c:pt>
                <c:pt idx="15">
                  <c:v>8505693.91</c:v>
                </c:pt>
                <c:pt idx="16">
                  <c:v>9019228.02</c:v>
                </c:pt>
                <c:pt idx="17">
                  <c:v>8877593.09</c:v>
                </c:pt>
                <c:pt idx="18">
                  <c:v>8870035.18</c:v>
                </c:pt>
                <c:pt idx="19">
                  <c:v>8091161.08</c:v>
                </c:pt>
                <c:pt idx="20">
                  <c:v>8341347.08</c:v>
                </c:pt>
                <c:pt idx="21">
                  <c:v>9245429.04</c:v>
                </c:pt>
                <c:pt idx="22">
                  <c:v>8208955.27</c:v>
                </c:pt>
                <c:pt idx="23">
                  <c:v>9061087.94</c:v>
                </c:pt>
                <c:pt idx="24">
                  <c:v>9010689.17</c:v>
                </c:pt>
                <c:pt idx="25">
                  <c:v>7426212.45</c:v>
                </c:pt>
                <c:pt idx="26">
                  <c:v>8727393.98</c:v>
                </c:pt>
                <c:pt idx="27">
                  <c:v>8785782.56</c:v>
                </c:pt>
                <c:pt idx="28">
                  <c:v>8985098.27</c:v>
                </c:pt>
                <c:pt idx="29">
                  <c:v>8747668.81</c:v>
                </c:pt>
                <c:pt idx="30">
                  <c:v>9138539.34</c:v>
                </c:pt>
                <c:pt idx="31">
                  <c:v>9592769.7</c:v>
                </c:pt>
                <c:pt idx="32">
                  <c:v>9121302.64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525483"/>
        <c:axId val="97675030"/>
      </c:lineChart>
      <c:catAx>
        <c:axId val="47525483"/>
        <c:scaling>
          <c:orientation val="minMax"/>
        </c:scaling>
        <c:delete val="0"/>
        <c:axPos val="b"/>
        <c:numFmt formatCode="mmm\ 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75030"/>
        <c:crosses val="autoZero"/>
        <c:auto val="1"/>
        <c:lblAlgn val="ctr"/>
        <c:lblOffset val="100"/>
        <c:noMultiLvlLbl val="0"/>
      </c:catAx>
      <c:valAx>
        <c:axId val="97675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525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Categories!B4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Categories!$A$5:$A$10</c:f>
              <c:strCache>
                <c:ptCount val="6"/>
                <c:pt idx="0">
                  <c:v>Laptops</c:v>
                </c:pt>
                <c:pt idx="1">
                  <c:v>Phones</c:v>
                </c:pt>
                <c:pt idx="2">
                  <c:v>Monitors</c:v>
                </c:pt>
                <c:pt idx="3">
                  <c:v>Audio</c:v>
                </c:pt>
                <c:pt idx="4">
                  <c:v>Smart Home</c:v>
                </c:pt>
                <c:pt idx="5">
                  <c:v>Accessories</c:v>
                </c:pt>
              </c:strCache>
            </c:strRef>
          </c:cat>
          <c:val>
            <c:numRef>
              <c:f>Categories!$B$5:$B$10</c:f>
              <c:numCache>
                <c:formatCode>#,##0.00</c:formatCode>
                <c:ptCount val="6"/>
                <c:pt idx="0">
                  <c:v>136667558.49</c:v>
                </c:pt>
                <c:pt idx="1">
                  <c:v>88381038.49</c:v>
                </c:pt>
                <c:pt idx="2">
                  <c:v>32284104.82</c:v>
                </c:pt>
                <c:pt idx="3">
                  <c:v>20044904.17</c:v>
                </c:pt>
                <c:pt idx="4">
                  <c:v>10875831.73</c:v>
                </c:pt>
                <c:pt idx="5">
                  <c:v>3312101.86</c:v>
                </c:pt>
              </c:numCache>
            </c:numRef>
          </c:val>
        </c:ser>
        <c:gapWidth val="150"/>
        <c:overlap val="0"/>
        <c:axId val="35644114"/>
        <c:axId val="72920473"/>
      </c:barChart>
      <c:catAx>
        <c:axId val="3564411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20473"/>
        <c:crosses val="autoZero"/>
        <c:auto val="1"/>
        <c:lblAlgn val="ctr"/>
        <c:lblOffset val="100"/>
        <c:noMultiLvlLbl val="0"/>
      </c:catAx>
      <c:valAx>
        <c:axId val="729204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44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country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Countries!D4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563e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Countries!$A$5:$A$10</c:f>
              <c:strCache>
                <c:ptCount val="6"/>
                <c:pt idx="0">
                  <c:v>Poland</c:v>
                </c:pt>
                <c:pt idx="1">
                  <c:v>Germany</c:v>
                </c:pt>
                <c:pt idx="2">
                  <c:v>Ukraine</c:v>
                </c:pt>
                <c:pt idx="3">
                  <c:v>Spain</c:v>
                </c:pt>
                <c:pt idx="4">
                  <c:v>Netherlands</c:v>
                </c:pt>
                <c:pt idx="5">
                  <c:v>Czechia</c:v>
                </c:pt>
              </c:strCache>
            </c:strRef>
          </c:cat>
          <c:val>
            <c:numRef>
              <c:f>Countries!$D$5:$D$10</c:f>
              <c:numCache>
                <c:formatCode>#,##0.00</c:formatCode>
                <c:ptCount val="6"/>
                <c:pt idx="0">
                  <c:v>74634707.59</c:v>
                </c:pt>
                <c:pt idx="1">
                  <c:v>58971030.59</c:v>
                </c:pt>
                <c:pt idx="2">
                  <c:v>41779875.02</c:v>
                </c:pt>
                <c:pt idx="3">
                  <c:v>40009973.33</c:v>
                </c:pt>
                <c:pt idx="4">
                  <c:v>38814880.94</c:v>
                </c:pt>
                <c:pt idx="5">
                  <c:v>37355072.09</c:v>
                </c:pt>
              </c:numCache>
            </c:numRef>
          </c:val>
        </c:ser>
        <c:gapWidth val="150"/>
        <c:overlap val="0"/>
        <c:axId val="11146489"/>
        <c:axId val="68486993"/>
      </c:barChart>
      <c:catAx>
        <c:axId val="1114648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86993"/>
        <c:crosses val="autoZero"/>
        <c:auto val="1"/>
        <c:lblAlgn val="ctr"/>
        <c:lblOffset val="100"/>
        <c:noMultiLvlLbl val="0"/>
      </c:catAx>
      <c:valAx>
        <c:axId val="684869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464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19</xdr:col>
      <xdr:colOff>473040</xdr:colOff>
      <xdr:row>17</xdr:row>
      <xdr:rowOff>142560</xdr:rowOff>
    </xdr:to>
    <xdr:graphicFrame>
      <xdr:nvGraphicFramePr>
        <xdr:cNvPr id="0" name="Chart 1"/>
        <xdr:cNvGraphicFramePr/>
      </xdr:nvGraphicFramePr>
      <xdr:xfrm>
        <a:off x="7660080" y="571680"/>
        <a:ext cx="71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131040</xdr:rowOff>
    </xdr:from>
    <xdr:to>
      <xdr:col>15</xdr:col>
      <xdr:colOff>255960</xdr:colOff>
      <xdr:row>15</xdr:row>
      <xdr:rowOff>163800</xdr:rowOff>
    </xdr:to>
    <xdr:graphicFrame>
      <xdr:nvGraphicFramePr>
        <xdr:cNvPr id="1" name="Chart 1"/>
        <xdr:cNvGraphicFramePr/>
      </xdr:nvGraphicFramePr>
      <xdr:xfrm>
        <a:off x="582732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16</xdr:col>
      <xdr:colOff>255960</xdr:colOff>
      <xdr:row>15</xdr:row>
      <xdr:rowOff>163800</xdr:rowOff>
    </xdr:to>
    <xdr:graphicFrame>
      <xdr:nvGraphicFramePr>
        <xdr:cNvPr id="2" name="Chart 1"/>
        <xdr:cNvGraphicFramePr/>
      </xdr:nvGraphicFramePr>
      <xdr:xfrm>
        <a:off x="695520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7" t="s">
        <v>6</v>
      </c>
      <c r="B6" s="8" t="n">
        <f aca="false">Monthly!B38</f>
        <v>291565539.56</v>
      </c>
      <c r="C6" s="9" t="s">
        <v>7</v>
      </c>
    </row>
    <row r="7" customFormat="false" ht="15" hidden="false" customHeight="false" outlineLevel="0" collapsed="false">
      <c r="A7" s="7" t="s">
        <v>8</v>
      </c>
      <c r="B7" s="10" t="n">
        <f aca="false">Monthly!C38</f>
        <v>42285</v>
      </c>
      <c r="C7" s="9" t="s">
        <v>9</v>
      </c>
    </row>
    <row r="8" customFormat="false" ht="15" hidden="false" customHeight="false" outlineLevel="0" collapsed="false">
      <c r="A8" s="7" t="s">
        <v>10</v>
      </c>
      <c r="B8" s="10" t="n">
        <f aca="false">Monthly!D38</f>
        <v>137122</v>
      </c>
      <c r="C8" s="9" t="s">
        <v>11</v>
      </c>
    </row>
    <row r="9" customFormat="false" ht="15" hidden="false" customHeight="false" outlineLevel="0" collapsed="false">
      <c r="A9" s="7" t="s">
        <v>12</v>
      </c>
      <c r="B9" s="8" t="n">
        <f aca="false">B6/B7</f>
        <v>6895.24747688306</v>
      </c>
      <c r="C9" s="9" t="s">
        <v>13</v>
      </c>
    </row>
    <row r="10" customFormat="false" ht="15" hidden="false" customHeight="false" outlineLevel="0" collapsed="false">
      <c r="A10" s="7" t="s">
        <v>14</v>
      </c>
      <c r="B10" s="10" t="n">
        <f aca="false">Countries!B11</f>
        <v>4986</v>
      </c>
      <c r="C10" s="9" t="s">
        <v>15</v>
      </c>
    </row>
    <row r="11" customFormat="false" ht="15" hidden="false" customHeight="false" outlineLevel="0" collapsed="false">
      <c r="A11" s="7" t="s">
        <v>16</v>
      </c>
      <c r="B11" s="11" t="n">
        <f aca="false">1-Segments!B5/Segments!B8</f>
        <v>0.979342158042519</v>
      </c>
      <c r="C11" s="9" t="s">
        <v>17</v>
      </c>
    </row>
    <row r="12" customFormat="false" ht="15" hidden="false" customHeight="false" outlineLevel="0" collapsed="false">
      <c r="A12" s="7" t="s">
        <v>18</v>
      </c>
      <c r="B12" s="11" t="n">
        <f aca="false">MAX(Categories!E5:E10)</f>
        <v>0.468737007453776</v>
      </c>
      <c r="C12" s="9" t="s">
        <v>19</v>
      </c>
    </row>
    <row r="13" customFormat="false" ht="15" hidden="false" customHeight="false" outlineLevel="0" collapsed="false">
      <c r="A13" s="7" t="s">
        <v>20</v>
      </c>
      <c r="B13" s="11" t="n">
        <f aca="false">7417/49702</f>
        <v>0.149229407267313</v>
      </c>
      <c r="C13" s="9" t="s">
        <v>21</v>
      </c>
    </row>
    <row r="15" customFormat="false" ht="15" hidden="false" customHeight="false" outlineLevel="0" collapsed="false">
      <c r="A15" s="3" t="s">
        <v>22</v>
      </c>
    </row>
    <row r="16" customFormat="false" ht="30" hidden="false" customHeight="true" outlineLevel="0" collapsed="false">
      <c r="A16" s="4" t="s">
        <v>23</v>
      </c>
      <c r="B16" s="5" t="s">
        <v>24</v>
      </c>
      <c r="C16" s="5" t="s">
        <v>25</v>
      </c>
    </row>
    <row r="17" customFormat="false" ht="15" hidden="false" customHeight="false" outlineLevel="0" collapsed="false">
      <c r="A17" s="7" t="s">
        <v>26</v>
      </c>
      <c r="B17" s="12" t="n">
        <f aca="false">Monthly!B38</f>
        <v>291565539.56</v>
      </c>
      <c r="C17" s="12" t="n">
        <f aca="false">ROUND(B17-$B$17,2)</f>
        <v>0</v>
      </c>
    </row>
    <row r="18" customFormat="false" ht="15" hidden="false" customHeight="false" outlineLevel="0" collapsed="false">
      <c r="A18" s="7" t="s">
        <v>27</v>
      </c>
      <c r="B18" s="12" t="n">
        <f aca="false">Categories!B11</f>
        <v>291565539.56</v>
      </c>
      <c r="C18" s="12" t="n">
        <f aca="false">ROUND(B18-$B$17,2)</f>
        <v>0</v>
      </c>
    </row>
    <row r="19" customFormat="false" ht="15" hidden="false" customHeight="false" outlineLevel="0" collapsed="false">
      <c r="A19" s="7" t="s">
        <v>28</v>
      </c>
      <c r="B19" s="12" t="n">
        <f aca="false">Products!E47</f>
        <v>291565539.56</v>
      </c>
      <c r="C19" s="12" t="n">
        <f aca="false">ROUND(B19-$B$17,2)</f>
        <v>0</v>
      </c>
    </row>
    <row r="20" customFormat="false" ht="15" hidden="false" customHeight="false" outlineLevel="0" collapsed="false">
      <c r="A20" s="7" t="s">
        <v>29</v>
      </c>
      <c r="B20" s="12" t="n">
        <f aca="false">Countries!D11</f>
        <v>291565539.56</v>
      </c>
      <c r="C20" s="12" t="n">
        <f aca="false">ROUND(B20-$B$17,2)</f>
        <v>0</v>
      </c>
    </row>
    <row r="21" customFormat="false" ht="15" hidden="false" customHeight="false" outlineLevel="0" collapsed="false">
      <c r="A21" s="7" t="s">
        <v>30</v>
      </c>
      <c r="B21" s="12" t="n">
        <f aca="false">Segments!D8</f>
        <v>291565539.56</v>
      </c>
      <c r="C21" s="12" t="n">
        <f aca="false">ROUND(B21-$B$17,2)</f>
        <v>0</v>
      </c>
    </row>
    <row r="23" customFormat="false" ht="15" hidden="false" customHeight="false" outlineLevel="0" collapsed="false">
      <c r="A23" s="3" t="s">
        <v>31</v>
      </c>
    </row>
    <row r="24" customFormat="false" ht="30" hidden="false" customHeight="true" outlineLevel="0" collapsed="false">
      <c r="A24" s="4" t="s">
        <v>3</v>
      </c>
      <c r="B24" s="5" t="s">
        <v>4</v>
      </c>
      <c r="C24" s="6" t="s">
        <v>32</v>
      </c>
    </row>
    <row r="25" customFormat="false" ht="15" hidden="false" customHeight="false" outlineLevel="0" collapsed="false">
      <c r="A25" s="7" t="s">
        <v>33</v>
      </c>
      <c r="B25" s="10" t="n">
        <f aca="false">'Data quality'!B6</f>
        <v>102581</v>
      </c>
      <c r="C25" s="9" t="s">
        <v>34</v>
      </c>
    </row>
    <row r="26" customFormat="false" ht="15" hidden="false" customHeight="false" outlineLevel="0" collapsed="false">
      <c r="A26" s="7" t="s">
        <v>35</v>
      </c>
      <c r="B26" s="10" t="n">
        <f aca="false">'Data quality'!B7</f>
        <v>100533</v>
      </c>
      <c r="C26" s="9" t="s">
        <v>34</v>
      </c>
    </row>
    <row r="27" customFormat="false" ht="15" hidden="false" customHeight="false" outlineLevel="0" collapsed="false">
      <c r="A27" s="7" t="s">
        <v>36</v>
      </c>
      <c r="B27" s="10" t="n">
        <f aca="false">'Data quality'!B8</f>
        <v>2048</v>
      </c>
      <c r="C27" s="9" t="s">
        <v>37</v>
      </c>
    </row>
    <row r="28" customFormat="false" ht="15" hidden="false" customHeight="false" outlineLevel="0" collapsed="false">
      <c r="A28" s="7" t="s">
        <v>38</v>
      </c>
      <c r="B28" s="10" t="n">
        <f aca="false">'Data quality'!B9</f>
        <v>0</v>
      </c>
      <c r="C28" s="9" t="s">
        <v>39</v>
      </c>
    </row>
    <row r="29" customFormat="false" ht="15" hidden="false" customHeight="false" outlineLevel="0" collapsed="false">
      <c r="A29" s="7" t="s">
        <v>40</v>
      </c>
      <c r="B29" s="10" t="n">
        <f aca="false">'Data quality'!B49</f>
        <v>43253</v>
      </c>
      <c r="C29" s="9" t="s">
        <v>41</v>
      </c>
    </row>
    <row r="30" customFormat="false" ht="15" hidden="false" customHeight="false" outlineLevel="0" collapsed="false">
      <c r="A30" s="7" t="s">
        <v>42</v>
      </c>
      <c r="B30" s="10" t="n">
        <f aca="false">COUNTIF('Data quality'!C53:C63,"PASS")</f>
        <v>11</v>
      </c>
      <c r="C30" s="9" t="s">
        <v>43</v>
      </c>
    </row>
    <row r="32" customFormat="false" ht="15" hidden="false" customHeight="false" outlineLevel="0" collapsed="false">
      <c r="A32" s="3" t="s">
        <v>44</v>
      </c>
    </row>
    <row r="33" customFormat="false" ht="15" hidden="false" customHeight="false" outlineLevel="0" collapsed="false">
      <c r="A33" s="2" t="s">
        <v>45</v>
      </c>
    </row>
    <row r="34" customFormat="false" ht="15" hidden="false" customHeight="false" outlineLevel="0" collapsed="false">
      <c r="A34" s="2" t="s">
        <v>46</v>
      </c>
    </row>
    <row r="35" customFormat="false" ht="15" hidden="false" customHeight="false" outlineLevel="0" collapsed="false">
      <c r="A35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7" min="6" style="0" width="17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0" hidden="false" customHeight="true" outlineLevel="0" collapsed="false">
      <c r="A4" s="4" t="s">
        <v>50</v>
      </c>
      <c r="B4" s="5" t="s">
        <v>51</v>
      </c>
      <c r="C4" s="5" t="s">
        <v>8</v>
      </c>
      <c r="D4" s="5" t="s">
        <v>52</v>
      </c>
      <c r="E4" s="5" t="s">
        <v>14</v>
      </c>
      <c r="F4" s="5" t="s">
        <v>53</v>
      </c>
      <c r="G4" s="5" t="s">
        <v>54</v>
      </c>
    </row>
    <row r="5" customFormat="false" ht="15" hidden="false" customHeight="false" outlineLevel="0" collapsed="false">
      <c r="A5" s="13" t="n">
        <v>45292</v>
      </c>
      <c r="B5" s="12" t="n">
        <v>8860864.52</v>
      </c>
      <c r="C5" s="14" t="n">
        <v>1292</v>
      </c>
      <c r="D5" s="14" t="n">
        <v>4150</v>
      </c>
      <c r="E5" s="14" t="n">
        <v>1029</v>
      </c>
      <c r="F5" s="12" t="n">
        <f aca="false">B5/C5</f>
        <v>6858.25427244582</v>
      </c>
      <c r="G5" s="15"/>
    </row>
    <row r="6" customFormat="false" ht="15" hidden="false" customHeight="false" outlineLevel="0" collapsed="false">
      <c r="A6" s="13" t="n">
        <v>45323</v>
      </c>
      <c r="B6" s="12" t="n">
        <v>8268870.69</v>
      </c>
      <c r="C6" s="14" t="n">
        <v>1164</v>
      </c>
      <c r="D6" s="14" t="n">
        <v>3794</v>
      </c>
      <c r="E6" s="14" t="n">
        <v>947</v>
      </c>
      <c r="F6" s="12" t="n">
        <f aca="false">B6/C6</f>
        <v>7103.84079896907</v>
      </c>
      <c r="G6" s="15" t="n">
        <f aca="false">(B6-B5)/B5</f>
        <v>-0.066809940346543</v>
      </c>
    </row>
    <row r="7" customFormat="false" ht="15" hidden="false" customHeight="false" outlineLevel="0" collapsed="false">
      <c r="A7" s="13" t="n">
        <v>45352</v>
      </c>
      <c r="B7" s="12" t="n">
        <v>9326088.16</v>
      </c>
      <c r="C7" s="14" t="n">
        <v>1317</v>
      </c>
      <c r="D7" s="14" t="n">
        <v>4352</v>
      </c>
      <c r="E7" s="14" t="n">
        <v>1055</v>
      </c>
      <c r="F7" s="12" t="n">
        <f aca="false">B7/C7</f>
        <v>7081.31219438117</v>
      </c>
      <c r="G7" s="15" t="n">
        <f aca="false">(B7-B6)/B6</f>
        <v>0.127855121894523</v>
      </c>
    </row>
    <row r="8" customFormat="false" ht="15" hidden="false" customHeight="false" outlineLevel="0" collapsed="false">
      <c r="A8" s="13" t="n">
        <v>45383</v>
      </c>
      <c r="B8" s="12" t="n">
        <v>8807429.44</v>
      </c>
      <c r="C8" s="14" t="n">
        <v>1261</v>
      </c>
      <c r="D8" s="14" t="n">
        <v>4090</v>
      </c>
      <c r="E8" s="14" t="n">
        <v>1023</v>
      </c>
      <c r="F8" s="12" t="n">
        <f aca="false">B8/C8</f>
        <v>6984.48012688343</v>
      </c>
      <c r="G8" s="15" t="n">
        <f aca="false">(B8-B7)/B7</f>
        <v>-0.055613748347839</v>
      </c>
    </row>
    <row r="9" customFormat="false" ht="15" hidden="false" customHeight="false" outlineLevel="0" collapsed="false">
      <c r="A9" s="13" t="n">
        <v>45413</v>
      </c>
      <c r="B9" s="12" t="n">
        <v>9263004.45</v>
      </c>
      <c r="C9" s="14" t="n">
        <v>1333</v>
      </c>
      <c r="D9" s="14" t="n">
        <v>4315</v>
      </c>
      <c r="E9" s="14" t="n">
        <v>1056</v>
      </c>
      <c r="F9" s="12" t="n">
        <f aca="false">B9/C9</f>
        <v>6948.99058514629</v>
      </c>
      <c r="G9" s="15" t="n">
        <f aca="false">(B9-B8)/B8</f>
        <v>0.0517262174058359</v>
      </c>
    </row>
    <row r="10" customFormat="false" ht="15" hidden="false" customHeight="false" outlineLevel="0" collapsed="false">
      <c r="A10" s="13" t="n">
        <v>45444</v>
      </c>
      <c r="B10" s="12" t="n">
        <v>8808141.21</v>
      </c>
      <c r="C10" s="14" t="n">
        <v>1234</v>
      </c>
      <c r="D10" s="14" t="n">
        <v>4105</v>
      </c>
      <c r="E10" s="14" t="n">
        <v>1018</v>
      </c>
      <c r="F10" s="12" t="n">
        <f aca="false">B10/C10</f>
        <v>7137.87780388979</v>
      </c>
      <c r="G10" s="15" t="n">
        <f aca="false">(B10-B9)/B9</f>
        <v>-0.0491053677513885</v>
      </c>
    </row>
    <row r="11" customFormat="false" ht="15" hidden="false" customHeight="false" outlineLevel="0" collapsed="false">
      <c r="A11" s="13" t="n">
        <v>45474</v>
      </c>
      <c r="B11" s="12" t="n">
        <v>9015219.5</v>
      </c>
      <c r="C11" s="14" t="n">
        <v>1377</v>
      </c>
      <c r="D11" s="14" t="n">
        <v>4453</v>
      </c>
      <c r="E11" s="14" t="n">
        <v>1088</v>
      </c>
      <c r="F11" s="12" t="n">
        <f aca="false">B11/C11</f>
        <v>6547.00036310821</v>
      </c>
      <c r="G11" s="15" t="n">
        <f aca="false">(B11-B10)/B10</f>
        <v>0.0235098739975808</v>
      </c>
    </row>
    <row r="12" customFormat="false" ht="15" hidden="false" customHeight="false" outlineLevel="0" collapsed="false">
      <c r="A12" s="13" t="n">
        <v>45505</v>
      </c>
      <c r="B12" s="12" t="n">
        <v>9234290.9</v>
      </c>
      <c r="C12" s="14" t="n">
        <v>1319</v>
      </c>
      <c r="D12" s="14" t="n">
        <v>4212</v>
      </c>
      <c r="E12" s="14" t="n">
        <v>1065</v>
      </c>
      <c r="F12" s="12" t="n">
        <f aca="false">B12/C12</f>
        <v>7000.97869598181</v>
      </c>
      <c r="G12" s="15" t="n">
        <f aca="false">(B12-B11)/B11</f>
        <v>0.0243001737228916</v>
      </c>
    </row>
    <row r="13" customFormat="false" ht="15" hidden="false" customHeight="false" outlineLevel="0" collapsed="false">
      <c r="A13" s="13" t="n">
        <v>45536</v>
      </c>
      <c r="B13" s="12" t="n">
        <v>8704798.07</v>
      </c>
      <c r="C13" s="14" t="n">
        <v>1259</v>
      </c>
      <c r="D13" s="14" t="n">
        <v>4123</v>
      </c>
      <c r="E13" s="14" t="n">
        <v>1024</v>
      </c>
      <c r="F13" s="12" t="n">
        <f aca="false">B13/C13</f>
        <v>6914.05724384432</v>
      </c>
      <c r="G13" s="15" t="n">
        <f aca="false">(B13-B12)/B12</f>
        <v>-0.0573398472859459</v>
      </c>
    </row>
    <row r="14" customFormat="false" ht="15" hidden="false" customHeight="false" outlineLevel="0" collapsed="false">
      <c r="A14" s="13" t="n">
        <v>45566</v>
      </c>
      <c r="B14" s="12" t="n">
        <v>8774614.52</v>
      </c>
      <c r="C14" s="14" t="n">
        <v>1287</v>
      </c>
      <c r="D14" s="14" t="n">
        <v>4199</v>
      </c>
      <c r="E14" s="14" t="n">
        <v>1028</v>
      </c>
      <c r="F14" s="12" t="n">
        <f aca="false">B14/C14</f>
        <v>6817.8822999223</v>
      </c>
      <c r="G14" s="15" t="n">
        <f aca="false">(B14-B13)/B13</f>
        <v>0.00802045601041717</v>
      </c>
    </row>
    <row r="15" customFormat="false" ht="15" hidden="false" customHeight="false" outlineLevel="0" collapsed="false">
      <c r="A15" s="13" t="n">
        <v>45597</v>
      </c>
      <c r="B15" s="12" t="n">
        <v>8685499.45</v>
      </c>
      <c r="C15" s="14" t="n">
        <v>1232</v>
      </c>
      <c r="D15" s="14" t="n">
        <v>4056</v>
      </c>
      <c r="E15" s="14" t="n">
        <v>989</v>
      </c>
      <c r="F15" s="12" t="n">
        <f aca="false">B15/C15</f>
        <v>7049.91838474026</v>
      </c>
      <c r="G15" s="15" t="n">
        <f aca="false">(B15-B14)/B14</f>
        <v>-0.0101560096796139</v>
      </c>
    </row>
    <row r="16" customFormat="false" ht="15" hidden="false" customHeight="false" outlineLevel="0" collapsed="false">
      <c r="A16" s="13" t="n">
        <v>45627</v>
      </c>
      <c r="B16" s="12" t="n">
        <v>9498424.1</v>
      </c>
      <c r="C16" s="14" t="n">
        <v>1349</v>
      </c>
      <c r="D16" s="14" t="n">
        <v>4469</v>
      </c>
      <c r="E16" s="14" t="n">
        <v>1105</v>
      </c>
      <c r="F16" s="12" t="n">
        <f aca="false">B16/C16</f>
        <v>7041.08532246108</v>
      </c>
      <c r="G16" s="15" t="n">
        <f aca="false">(B16-B15)/B15</f>
        <v>0.0935956135487408</v>
      </c>
    </row>
    <row r="17" customFormat="false" ht="15" hidden="false" customHeight="false" outlineLevel="0" collapsed="false">
      <c r="A17" s="13" t="n">
        <v>45658</v>
      </c>
      <c r="B17" s="12" t="n">
        <v>9256752.67</v>
      </c>
      <c r="C17" s="14" t="n">
        <v>1352</v>
      </c>
      <c r="D17" s="14" t="n">
        <v>4401</v>
      </c>
      <c r="E17" s="14" t="n">
        <v>1087</v>
      </c>
      <c r="F17" s="12" t="n">
        <f aca="false">B17/C17</f>
        <v>6846.71055473373</v>
      </c>
      <c r="G17" s="15" t="n">
        <f aca="false">(B17-B16)/B16</f>
        <v>-0.0254433185395459</v>
      </c>
    </row>
    <row r="18" customFormat="false" ht="15" hidden="false" customHeight="false" outlineLevel="0" collapsed="false">
      <c r="A18" s="13" t="n">
        <v>45689</v>
      </c>
      <c r="B18" s="12" t="n">
        <v>8403658.24</v>
      </c>
      <c r="C18" s="14" t="n">
        <v>1208</v>
      </c>
      <c r="D18" s="14" t="n">
        <v>3889</v>
      </c>
      <c r="E18" s="14" t="n">
        <v>973</v>
      </c>
      <c r="F18" s="12" t="n">
        <f aca="false">B18/C18</f>
        <v>6956.67072847682</v>
      </c>
      <c r="G18" s="15" t="n">
        <f aca="false">(B18-B17)/B17</f>
        <v>-0.0921591469938237</v>
      </c>
    </row>
    <row r="19" customFormat="false" ht="15" hidden="false" customHeight="false" outlineLevel="0" collapsed="false">
      <c r="A19" s="13" t="n">
        <v>45717</v>
      </c>
      <c r="B19" s="12" t="n">
        <v>8901896.11</v>
      </c>
      <c r="C19" s="14" t="n">
        <v>1308</v>
      </c>
      <c r="D19" s="14" t="n">
        <v>4205</v>
      </c>
      <c r="E19" s="14" t="n">
        <v>1056</v>
      </c>
      <c r="F19" s="12" t="n">
        <f aca="false">B19/C19</f>
        <v>6805.73097094801</v>
      </c>
      <c r="G19" s="15" t="n">
        <f aca="false">(B19-B18)/B18</f>
        <v>0.0592882118442741</v>
      </c>
    </row>
    <row r="20" customFormat="false" ht="15" hidden="false" customHeight="false" outlineLevel="0" collapsed="false">
      <c r="A20" s="13" t="n">
        <v>45748</v>
      </c>
      <c r="B20" s="12" t="n">
        <v>8505693.91</v>
      </c>
      <c r="C20" s="14" t="n">
        <v>1267</v>
      </c>
      <c r="D20" s="14" t="n">
        <v>4098</v>
      </c>
      <c r="E20" s="14" t="n">
        <v>1027</v>
      </c>
      <c r="F20" s="12" t="n">
        <f aca="false">B20/C20</f>
        <v>6713.25486187845</v>
      </c>
      <c r="G20" s="15" t="n">
        <f aca="false">(B20-B19)/B19</f>
        <v>-0.044507618950408</v>
      </c>
    </row>
    <row r="21" customFormat="false" ht="15" hidden="false" customHeight="false" outlineLevel="0" collapsed="false">
      <c r="A21" s="13" t="n">
        <v>45778</v>
      </c>
      <c r="B21" s="12" t="n">
        <v>9019228.02</v>
      </c>
      <c r="C21" s="14" t="n">
        <v>1346</v>
      </c>
      <c r="D21" s="14" t="n">
        <v>4300</v>
      </c>
      <c r="E21" s="14" t="n">
        <v>1067</v>
      </c>
      <c r="F21" s="12" t="n">
        <f aca="false">B21/C21</f>
        <v>6700.76375928678</v>
      </c>
      <c r="G21" s="15" t="n">
        <f aca="false">(B21-B20)/B20</f>
        <v>0.060375333915584</v>
      </c>
    </row>
    <row r="22" customFormat="false" ht="15" hidden="false" customHeight="false" outlineLevel="0" collapsed="false">
      <c r="A22" s="13" t="n">
        <v>45809</v>
      </c>
      <c r="B22" s="12" t="n">
        <v>8877593.09</v>
      </c>
      <c r="C22" s="14" t="n">
        <v>1239</v>
      </c>
      <c r="D22" s="14" t="n">
        <v>4045</v>
      </c>
      <c r="E22" s="14" t="n">
        <v>1032</v>
      </c>
      <c r="F22" s="12" t="n">
        <f aca="false">B22/C22</f>
        <v>7165.12759483454</v>
      </c>
      <c r="G22" s="15" t="n">
        <f aca="false">(B22-B21)/B21</f>
        <v>-0.0157036644029762</v>
      </c>
    </row>
    <row r="23" customFormat="false" ht="15" hidden="false" customHeight="false" outlineLevel="0" collapsed="false">
      <c r="A23" s="13" t="n">
        <v>45839</v>
      </c>
      <c r="B23" s="12" t="n">
        <v>8870035.18</v>
      </c>
      <c r="C23" s="14" t="n">
        <v>1281</v>
      </c>
      <c r="D23" s="14" t="n">
        <v>4132</v>
      </c>
      <c r="E23" s="14" t="n">
        <v>1037</v>
      </c>
      <c r="F23" s="12" t="n">
        <f aca="false">B23/C23</f>
        <v>6924.30537080406</v>
      </c>
      <c r="G23" s="15" t="n">
        <f aca="false">(B23-B22)/B22</f>
        <v>-0.000851346747184619</v>
      </c>
    </row>
    <row r="24" customFormat="false" ht="15" hidden="false" customHeight="false" outlineLevel="0" collapsed="false">
      <c r="A24" s="13" t="n">
        <v>45870</v>
      </c>
      <c r="B24" s="12" t="n">
        <v>8091161.08</v>
      </c>
      <c r="C24" s="14" t="n">
        <v>1259</v>
      </c>
      <c r="D24" s="14" t="n">
        <v>3885</v>
      </c>
      <c r="E24" s="14" t="n">
        <v>1012</v>
      </c>
      <c r="F24" s="12" t="n">
        <f aca="false">B24/C24</f>
        <v>6426.65693407466</v>
      </c>
      <c r="G24" s="15" t="n">
        <f aca="false">(B24-B23)/B23</f>
        <v>-0.0878095840878051</v>
      </c>
    </row>
    <row r="25" customFormat="false" ht="15" hidden="false" customHeight="false" outlineLevel="0" collapsed="false">
      <c r="A25" s="13" t="n">
        <v>45901</v>
      </c>
      <c r="B25" s="12" t="n">
        <v>8341347.08</v>
      </c>
      <c r="C25" s="14" t="n">
        <v>1184</v>
      </c>
      <c r="D25" s="14" t="n">
        <v>3909</v>
      </c>
      <c r="E25" s="14" t="n">
        <v>971</v>
      </c>
      <c r="F25" s="12" t="n">
        <f aca="false">B25/C25</f>
        <v>7045.05665540541</v>
      </c>
      <c r="G25" s="15" t="n">
        <f aca="false">(B25-B24)/B24</f>
        <v>0.0309209021457276</v>
      </c>
    </row>
    <row r="26" customFormat="false" ht="15" hidden="false" customHeight="false" outlineLevel="0" collapsed="false">
      <c r="A26" s="13" t="n">
        <v>45931</v>
      </c>
      <c r="B26" s="12" t="n">
        <v>9245429.04</v>
      </c>
      <c r="C26" s="14" t="n">
        <v>1336</v>
      </c>
      <c r="D26" s="14" t="n">
        <v>4425</v>
      </c>
      <c r="E26" s="14" t="n">
        <v>1072</v>
      </c>
      <c r="F26" s="12" t="n">
        <f aca="false">B26/C26</f>
        <v>6920.23131736527</v>
      </c>
      <c r="G26" s="15" t="n">
        <f aca="false">(B26-B25)/B25</f>
        <v>0.108385606225128</v>
      </c>
    </row>
    <row r="27" customFormat="false" ht="15" hidden="false" customHeight="false" outlineLevel="0" collapsed="false">
      <c r="A27" s="13" t="n">
        <v>45962</v>
      </c>
      <c r="B27" s="12" t="n">
        <v>8208955.27</v>
      </c>
      <c r="C27" s="14" t="n">
        <v>1202</v>
      </c>
      <c r="D27" s="14" t="n">
        <v>3941</v>
      </c>
      <c r="E27" s="14" t="n">
        <v>960</v>
      </c>
      <c r="F27" s="12" t="n">
        <f aca="false">B27/C27</f>
        <v>6829.41370216306</v>
      </c>
      <c r="G27" s="15" t="n">
        <f aca="false">(B27-B26)/B26</f>
        <v>-0.112106616741715</v>
      </c>
    </row>
    <row r="28" customFormat="false" ht="15" hidden="false" customHeight="false" outlineLevel="0" collapsed="false">
      <c r="A28" s="13" t="n">
        <v>45992</v>
      </c>
      <c r="B28" s="12" t="n">
        <v>9061087.94</v>
      </c>
      <c r="C28" s="14" t="n">
        <v>1284</v>
      </c>
      <c r="D28" s="14" t="n">
        <v>4313</v>
      </c>
      <c r="E28" s="14" t="n">
        <v>1028</v>
      </c>
      <c r="F28" s="12" t="n">
        <f aca="false">B28/C28</f>
        <v>7056.92207165109</v>
      </c>
      <c r="G28" s="15" t="n">
        <f aca="false">(B28-B27)/B27</f>
        <v>0.103805251944076</v>
      </c>
    </row>
    <row r="29" customFormat="false" ht="15" hidden="false" customHeight="false" outlineLevel="0" collapsed="false">
      <c r="A29" s="13" t="n">
        <v>46023</v>
      </c>
      <c r="B29" s="12" t="n">
        <v>9010689.17</v>
      </c>
      <c r="C29" s="14" t="n">
        <v>1281</v>
      </c>
      <c r="D29" s="14" t="n">
        <v>4211</v>
      </c>
      <c r="E29" s="14" t="n">
        <v>1032</v>
      </c>
      <c r="F29" s="12" t="n">
        <f aca="false">B29/C29</f>
        <v>7034.10551912568</v>
      </c>
      <c r="G29" s="15" t="n">
        <f aca="false">(B29-B28)/B28</f>
        <v>-0.00556211023816634</v>
      </c>
    </row>
    <row r="30" customFormat="false" ht="15" hidden="false" customHeight="false" outlineLevel="0" collapsed="false">
      <c r="A30" s="13" t="n">
        <v>46054</v>
      </c>
      <c r="B30" s="12" t="n">
        <v>7426212.45</v>
      </c>
      <c r="C30" s="14" t="n">
        <v>1166</v>
      </c>
      <c r="D30" s="14" t="n">
        <v>3519</v>
      </c>
      <c r="E30" s="14" t="n">
        <v>936</v>
      </c>
      <c r="F30" s="12" t="n">
        <f aca="false">B30/C30</f>
        <v>6368.96436535163</v>
      </c>
      <c r="G30" s="15" t="n">
        <f aca="false">(B30-B29)/B29</f>
        <v>-0.175844121365913</v>
      </c>
    </row>
    <row r="31" customFormat="false" ht="15" hidden="false" customHeight="false" outlineLevel="0" collapsed="false">
      <c r="A31" s="13" t="n">
        <v>46082</v>
      </c>
      <c r="B31" s="12" t="n">
        <v>8727393.98</v>
      </c>
      <c r="C31" s="14" t="n">
        <v>1298</v>
      </c>
      <c r="D31" s="14" t="n">
        <v>4232</v>
      </c>
      <c r="E31" s="14" t="n">
        <v>1044</v>
      </c>
      <c r="F31" s="12" t="n">
        <f aca="false">B31/C31</f>
        <v>6723.72417565485</v>
      </c>
      <c r="G31" s="15" t="n">
        <f aca="false">(B31-B30)/B30</f>
        <v>0.175214692383329</v>
      </c>
    </row>
    <row r="32" customFormat="false" ht="15" hidden="false" customHeight="false" outlineLevel="0" collapsed="false">
      <c r="A32" s="13" t="n">
        <v>46113</v>
      </c>
      <c r="B32" s="12" t="n">
        <v>8785782.56</v>
      </c>
      <c r="C32" s="14" t="n">
        <v>1286</v>
      </c>
      <c r="D32" s="14" t="n">
        <v>4191</v>
      </c>
      <c r="E32" s="14" t="n">
        <v>1055</v>
      </c>
      <c r="F32" s="12" t="n">
        <f aca="false">B32/C32</f>
        <v>6831.86824261275</v>
      </c>
      <c r="G32" s="15" t="n">
        <f aca="false">(B32-B31)/B31</f>
        <v>0.00669026517352206</v>
      </c>
    </row>
    <row r="33" customFormat="false" ht="15" hidden="false" customHeight="false" outlineLevel="0" collapsed="false">
      <c r="A33" s="13" t="n">
        <v>46143</v>
      </c>
      <c r="B33" s="12" t="n">
        <v>8985098.27</v>
      </c>
      <c r="C33" s="14" t="n">
        <v>1293</v>
      </c>
      <c r="D33" s="14" t="n">
        <v>4228</v>
      </c>
      <c r="E33" s="14" t="n">
        <v>1025</v>
      </c>
      <c r="F33" s="12" t="n">
        <f aca="false">B33/C33</f>
        <v>6949.03191802011</v>
      </c>
      <c r="G33" s="15" t="n">
        <f aca="false">(B33-B32)/B32</f>
        <v>0.0226861646801328</v>
      </c>
    </row>
    <row r="34" customFormat="false" ht="15" hidden="false" customHeight="false" outlineLevel="0" collapsed="false">
      <c r="A34" s="13" t="n">
        <v>46174</v>
      </c>
      <c r="B34" s="12" t="n">
        <v>8747668.81</v>
      </c>
      <c r="C34" s="14" t="n">
        <v>1302</v>
      </c>
      <c r="D34" s="14" t="n">
        <v>4137</v>
      </c>
      <c r="E34" s="14" t="n">
        <v>1046</v>
      </c>
      <c r="F34" s="12" t="n">
        <f aca="false">B34/C34</f>
        <v>6718.6396390169</v>
      </c>
      <c r="G34" s="15" t="n">
        <f aca="false">(B34-B33)/B33</f>
        <v>-0.0264248039214822</v>
      </c>
    </row>
    <row r="35" customFormat="false" ht="15" hidden="false" customHeight="false" outlineLevel="0" collapsed="false">
      <c r="A35" s="13" t="n">
        <v>46204</v>
      </c>
      <c r="B35" s="12" t="n">
        <v>9138539.34</v>
      </c>
      <c r="C35" s="14" t="n">
        <v>1333</v>
      </c>
      <c r="D35" s="14" t="n">
        <v>4268</v>
      </c>
      <c r="E35" s="14" t="n">
        <v>1085</v>
      </c>
      <c r="F35" s="12" t="n">
        <f aca="false">B35/C35</f>
        <v>6855.6184096024</v>
      </c>
      <c r="G35" s="15" t="n">
        <f aca="false">(B35-B34)/B34</f>
        <v>0.0446828221883722</v>
      </c>
    </row>
    <row r="36" customFormat="false" ht="15" hidden="false" customHeight="false" outlineLevel="0" collapsed="false">
      <c r="A36" s="13" t="n">
        <v>46235</v>
      </c>
      <c r="B36" s="12" t="n">
        <v>9592769.7</v>
      </c>
      <c r="C36" s="14" t="n">
        <v>1338</v>
      </c>
      <c r="D36" s="14" t="n">
        <v>4298</v>
      </c>
      <c r="E36" s="14" t="n">
        <v>1081</v>
      </c>
      <c r="F36" s="12" t="n">
        <f aca="false">B36/C36</f>
        <v>7169.48408071749</v>
      </c>
      <c r="G36" s="15" t="n">
        <f aca="false">(B36-B35)/B35</f>
        <v>0.0497049192546343</v>
      </c>
    </row>
    <row r="37" customFormat="false" ht="15" hidden="false" customHeight="false" outlineLevel="0" collapsed="false">
      <c r="A37" s="13" t="n">
        <v>46266</v>
      </c>
      <c r="B37" s="12" t="n">
        <v>9121302.64</v>
      </c>
      <c r="C37" s="14" t="n">
        <v>1298</v>
      </c>
      <c r="D37" s="14" t="n">
        <v>4177</v>
      </c>
      <c r="E37" s="14" t="n">
        <v>1044</v>
      </c>
      <c r="F37" s="12" t="n">
        <f aca="false">B37/C37</f>
        <v>7027.19771956857</v>
      </c>
      <c r="G37" s="15" t="n">
        <f aca="false">(B37-B36)/B36</f>
        <v>-0.0491481683334896</v>
      </c>
    </row>
    <row r="38" customFormat="false" ht="15" hidden="false" customHeight="false" outlineLevel="0" collapsed="false">
      <c r="A38" s="16" t="s">
        <v>55</v>
      </c>
      <c r="B38" s="17" t="n">
        <f aca="false">SUM(B5:B37)</f>
        <v>291565539.56</v>
      </c>
      <c r="C38" s="18" t="n">
        <f aca="false">SUM(C5:C37)</f>
        <v>42285</v>
      </c>
      <c r="D38" s="18" t="n">
        <f aca="false">SUM(D5:D37)</f>
        <v>137122</v>
      </c>
      <c r="E38" s="16"/>
      <c r="F38" s="17" t="n">
        <f aca="false">B38/C38</f>
        <v>6895.24747688306</v>
      </c>
      <c r="G38" s="16"/>
    </row>
    <row r="39" customFormat="false" ht="15" hidden="false" customHeight="false" outlineLevel="0" collapsed="false">
      <c r="A39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4" min="3" style="0" width="11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4" customFormat="false" ht="30" hidden="false" customHeight="true" outlineLevel="0" collapsed="false">
      <c r="A4" s="4" t="s">
        <v>59</v>
      </c>
      <c r="B4" s="5" t="s">
        <v>51</v>
      </c>
      <c r="C4" s="5" t="s">
        <v>52</v>
      </c>
      <c r="D4" s="5" t="s">
        <v>8</v>
      </c>
      <c r="E4" s="5" t="s">
        <v>60</v>
      </c>
    </row>
    <row r="5" customFormat="false" ht="15" hidden="false" customHeight="false" outlineLevel="0" collapsed="false">
      <c r="A5" s="7" t="s">
        <v>61</v>
      </c>
      <c r="B5" s="12" t="n">
        <v>136667558.49</v>
      </c>
      <c r="C5" s="14" t="n">
        <v>23010</v>
      </c>
      <c r="D5" s="14" t="n">
        <v>12621</v>
      </c>
      <c r="E5" s="19" t="n">
        <f aca="false">B5/SUM($B$5:$B$10)</f>
        <v>0.468737007453776</v>
      </c>
    </row>
    <row r="6" customFormat="false" ht="15" hidden="false" customHeight="false" outlineLevel="0" collapsed="false">
      <c r="A6" s="7" t="s">
        <v>62</v>
      </c>
      <c r="B6" s="12" t="n">
        <v>88381038.49</v>
      </c>
      <c r="C6" s="14" t="n">
        <v>22481</v>
      </c>
      <c r="D6" s="14" t="n">
        <v>12448</v>
      </c>
      <c r="E6" s="19" t="n">
        <f aca="false">B6/SUM($B$5:$B$10)</f>
        <v>0.303125803630207</v>
      </c>
    </row>
    <row r="7" customFormat="false" ht="15" hidden="false" customHeight="false" outlineLevel="0" collapsed="false">
      <c r="A7" s="7" t="s">
        <v>63</v>
      </c>
      <c r="B7" s="12" t="n">
        <v>32284104.82</v>
      </c>
      <c r="C7" s="14" t="n">
        <v>22571</v>
      </c>
      <c r="D7" s="14" t="n">
        <v>12469</v>
      </c>
      <c r="E7" s="19" t="n">
        <f aca="false">B7/SUM($B$5:$B$10)</f>
        <v>0.110726750728909</v>
      </c>
    </row>
    <row r="8" customFormat="false" ht="15" hidden="false" customHeight="false" outlineLevel="0" collapsed="false">
      <c r="A8" s="7" t="s">
        <v>64</v>
      </c>
      <c r="B8" s="12" t="n">
        <v>20044904.17</v>
      </c>
      <c r="C8" s="14" t="n">
        <v>23012</v>
      </c>
      <c r="D8" s="14" t="n">
        <v>12680</v>
      </c>
      <c r="E8" s="19" t="n">
        <f aca="false">B8/SUM($B$5:$B$10)</f>
        <v>0.0687492225598734</v>
      </c>
    </row>
    <row r="9" customFormat="false" ht="15" hidden="false" customHeight="false" outlineLevel="0" collapsed="false">
      <c r="A9" s="7" t="s">
        <v>65</v>
      </c>
      <c r="B9" s="12" t="n">
        <v>10875831.73</v>
      </c>
      <c r="C9" s="14" t="n">
        <v>23113</v>
      </c>
      <c r="D9" s="14" t="n">
        <v>12628</v>
      </c>
      <c r="E9" s="19" t="n">
        <f aca="false">B9/SUM($B$5:$B$10)</f>
        <v>0.0373014991634905</v>
      </c>
    </row>
    <row r="10" customFormat="false" ht="15" hidden="false" customHeight="false" outlineLevel="0" collapsed="false">
      <c r="A10" s="7" t="s">
        <v>66</v>
      </c>
      <c r="B10" s="12" t="n">
        <v>3312101.86</v>
      </c>
      <c r="C10" s="14" t="n">
        <v>22935</v>
      </c>
      <c r="D10" s="14" t="n">
        <v>12596</v>
      </c>
      <c r="E10" s="19" t="n">
        <f aca="false">B10/SUM($B$5:$B$10)</f>
        <v>0.0113597164637435</v>
      </c>
    </row>
    <row r="11" customFormat="false" ht="15" hidden="false" customHeight="false" outlineLevel="0" collapsed="false">
      <c r="A11" s="16" t="s">
        <v>55</v>
      </c>
      <c r="B11" s="17" t="n">
        <f aca="false">SUM(B5:B10)</f>
        <v>291565539.56</v>
      </c>
      <c r="C11" s="18" t="n">
        <f aca="false">SUM(C5:C10)</f>
        <v>137122</v>
      </c>
      <c r="D11" s="16"/>
      <c r="E11" s="20" t="n">
        <f aca="false">SUM(E5:E10)</f>
        <v>1</v>
      </c>
    </row>
    <row r="12" customFormat="false" ht="15" hidden="false" customHeight="false" outlineLevel="0" collapsed="false">
      <c r="A12" s="2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0" hidden="false" customHeight="true" outlineLevel="0" collapsed="false">
      <c r="A4" s="4" t="s">
        <v>59</v>
      </c>
      <c r="B4" s="5" t="s">
        <v>70</v>
      </c>
      <c r="C4" s="5" t="s">
        <v>71</v>
      </c>
      <c r="D4" s="5" t="s">
        <v>52</v>
      </c>
      <c r="E4" s="5" t="s">
        <v>51</v>
      </c>
      <c r="F4" s="5" t="s">
        <v>72</v>
      </c>
      <c r="G4" s="5" t="s">
        <v>73</v>
      </c>
    </row>
    <row r="5" customFormat="false" ht="15" hidden="false" customHeight="false" outlineLevel="0" collapsed="false">
      <c r="A5" s="7" t="s">
        <v>66</v>
      </c>
      <c r="B5" s="7" t="s">
        <v>74</v>
      </c>
      <c r="C5" s="7" t="s">
        <v>75</v>
      </c>
      <c r="D5" s="14" t="n">
        <v>3302</v>
      </c>
      <c r="E5" s="12" t="n">
        <v>861953.56</v>
      </c>
      <c r="F5" s="14" t="n">
        <f aca="false">1+COUNTIFS($A$5:$A$46,A5,$E$5:$E$46,"&gt;"&amp;E5)</f>
        <v>1</v>
      </c>
      <c r="G5" s="19" t="n">
        <f aca="false">E5/SUMIFS($E$5:$E$46,$A$5:$A$46,A5)</f>
        <v>0.26024367499374</v>
      </c>
    </row>
    <row r="6" customFormat="false" ht="15" hidden="false" customHeight="false" outlineLevel="0" collapsed="false">
      <c r="A6" s="7" t="s">
        <v>66</v>
      </c>
      <c r="B6" s="7" t="s">
        <v>76</v>
      </c>
      <c r="C6" s="7" t="s">
        <v>77</v>
      </c>
      <c r="D6" s="14" t="n">
        <v>3282</v>
      </c>
      <c r="E6" s="12" t="n">
        <v>611438.77</v>
      </c>
      <c r="F6" s="14" t="n">
        <f aca="false">1+COUNTIFS($A$5:$A$46,A6,$E$5:$E$46,"&gt;"&amp;E6)</f>
        <v>2</v>
      </c>
      <c r="G6" s="19" t="n">
        <f aca="false">E6/SUMIFS($E$5:$E$46,$A$5:$A$46,A6)</f>
        <v>0.184607477621476</v>
      </c>
    </row>
    <row r="7" customFormat="false" ht="15" hidden="false" customHeight="false" outlineLevel="0" collapsed="false">
      <c r="A7" s="7" t="s">
        <v>66</v>
      </c>
      <c r="B7" s="7" t="s">
        <v>78</v>
      </c>
      <c r="C7" s="7" t="s">
        <v>79</v>
      </c>
      <c r="D7" s="14" t="n">
        <v>3243</v>
      </c>
      <c r="E7" s="12" t="n">
        <v>526682.13</v>
      </c>
      <c r="F7" s="14" t="n">
        <f aca="false">1+COUNTIFS($A$5:$A$46,A7,$E$5:$E$46,"&gt;"&amp;E7)</f>
        <v>3</v>
      </c>
      <c r="G7" s="19" t="n">
        <f aca="false">E7/SUMIFS($E$5:$E$46,$A$5:$A$46,A7)</f>
        <v>0.159017491690307</v>
      </c>
    </row>
    <row r="8" customFormat="false" ht="15" hidden="false" customHeight="false" outlineLevel="0" collapsed="false">
      <c r="A8" s="7" t="s">
        <v>66</v>
      </c>
      <c r="B8" s="7" t="s">
        <v>80</v>
      </c>
      <c r="C8" s="7" t="s">
        <v>81</v>
      </c>
      <c r="D8" s="14" t="n">
        <v>3301</v>
      </c>
      <c r="E8" s="12" t="n">
        <v>471880.24</v>
      </c>
      <c r="F8" s="14" t="n">
        <f aca="false">1+COUNTIFS($A$5:$A$46,A8,$E$5:$E$46,"&gt;"&amp;E8)</f>
        <v>4</v>
      </c>
      <c r="G8" s="19" t="n">
        <f aca="false">E8/SUMIFS($E$5:$E$46,$A$5:$A$46,A8)</f>
        <v>0.14247153618639</v>
      </c>
    </row>
    <row r="9" customFormat="false" ht="15" hidden="false" customHeight="false" outlineLevel="0" collapsed="false">
      <c r="A9" s="7" t="s">
        <v>66</v>
      </c>
      <c r="B9" s="7" t="s">
        <v>82</v>
      </c>
      <c r="C9" s="7" t="s">
        <v>83</v>
      </c>
      <c r="D9" s="14" t="n">
        <v>3256</v>
      </c>
      <c r="E9" s="12" t="n">
        <v>360326.72</v>
      </c>
      <c r="F9" s="14" t="n">
        <f aca="false">1+COUNTIFS($A$5:$A$46,A9,$E$5:$E$46,"&gt;"&amp;E9)</f>
        <v>5</v>
      </c>
      <c r="G9" s="19" t="n">
        <f aca="false">E9/SUMIFS($E$5:$E$46,$A$5:$A$46,A9)</f>
        <v>0.108790953669523</v>
      </c>
    </row>
    <row r="10" customFormat="false" ht="15" hidden="false" customHeight="false" outlineLevel="0" collapsed="false">
      <c r="A10" s="7" t="s">
        <v>66</v>
      </c>
      <c r="B10" s="7" t="s">
        <v>84</v>
      </c>
      <c r="C10" s="7" t="s">
        <v>85</v>
      </c>
      <c r="D10" s="14" t="n">
        <v>3266</v>
      </c>
      <c r="E10" s="12" t="n">
        <v>325301.49</v>
      </c>
      <c r="F10" s="14" t="n">
        <f aca="false">1+COUNTIFS($A$5:$A$46,A10,$E$5:$E$46,"&gt;"&amp;E10)</f>
        <v>6</v>
      </c>
      <c r="G10" s="19" t="n">
        <f aca="false">E10/SUMIFS($E$5:$E$46,$A$5:$A$46,A10)</f>
        <v>0.0982160282956998</v>
      </c>
    </row>
    <row r="11" customFormat="false" ht="15" hidden="false" customHeight="false" outlineLevel="0" collapsed="false">
      <c r="A11" s="7" t="s">
        <v>66</v>
      </c>
      <c r="B11" s="7" t="s">
        <v>86</v>
      </c>
      <c r="C11" s="7" t="s">
        <v>87</v>
      </c>
      <c r="D11" s="14" t="n">
        <v>3285</v>
      </c>
      <c r="E11" s="12" t="n">
        <v>154518.95</v>
      </c>
      <c r="F11" s="14" t="n">
        <f aca="false">1+COUNTIFS($A$5:$A$46,A11,$E$5:$E$46,"&gt;"&amp;E11)</f>
        <v>7</v>
      </c>
      <c r="G11" s="19" t="n">
        <f aca="false">E11/SUMIFS($E$5:$E$46,$A$5:$A$46,A11)</f>
        <v>0.0466528375428647</v>
      </c>
    </row>
    <row r="12" customFormat="false" ht="15" hidden="false" customHeight="false" outlineLevel="0" collapsed="false">
      <c r="A12" s="7" t="s">
        <v>64</v>
      </c>
      <c r="B12" s="7" t="s">
        <v>88</v>
      </c>
      <c r="C12" s="7" t="s">
        <v>89</v>
      </c>
      <c r="D12" s="14" t="n">
        <v>3352</v>
      </c>
      <c r="E12" s="12" t="n">
        <v>4548974.24</v>
      </c>
      <c r="F12" s="14" t="n">
        <f aca="false">1+COUNTIFS($A$5:$A$46,A12,$E$5:$E$46,"&gt;"&amp;E12)</f>
        <v>1</v>
      </c>
      <c r="G12" s="19" t="n">
        <f aca="false">E12/SUMIFS($E$5:$E$46,$A$5:$A$46,A12)</f>
        <v>0.226939186210138</v>
      </c>
    </row>
    <row r="13" customFormat="false" ht="15" hidden="false" customHeight="false" outlineLevel="0" collapsed="false">
      <c r="A13" s="7" t="s">
        <v>64</v>
      </c>
      <c r="B13" s="7" t="s">
        <v>90</v>
      </c>
      <c r="C13" s="7" t="s">
        <v>91</v>
      </c>
      <c r="D13" s="14" t="n">
        <v>3288</v>
      </c>
      <c r="E13" s="12" t="n">
        <v>4488712.91</v>
      </c>
      <c r="F13" s="14" t="n">
        <f aca="false">1+COUNTIFS($A$5:$A$46,A13,$E$5:$E$46,"&gt;"&amp;E13)</f>
        <v>2</v>
      </c>
      <c r="G13" s="19" t="n">
        <f aca="false">E13/SUMIFS($E$5:$E$46,$A$5:$A$46,A13)</f>
        <v>0.223932869517929</v>
      </c>
    </row>
    <row r="14" customFormat="false" ht="15" hidden="false" customHeight="false" outlineLevel="0" collapsed="false">
      <c r="A14" s="7" t="s">
        <v>64</v>
      </c>
      <c r="B14" s="7" t="s">
        <v>92</v>
      </c>
      <c r="C14" s="7" t="s">
        <v>93</v>
      </c>
      <c r="D14" s="14" t="n">
        <v>3284</v>
      </c>
      <c r="E14" s="12" t="n">
        <v>3772355.22</v>
      </c>
      <c r="F14" s="14" t="n">
        <f aca="false">1+COUNTIFS($A$5:$A$46,A14,$E$5:$E$46,"&gt;"&amp;E14)</f>
        <v>3</v>
      </c>
      <c r="G14" s="19" t="n">
        <f aca="false">E14/SUMIFS($E$5:$E$46,$A$5:$A$46,A14)</f>
        <v>0.188195223484573</v>
      </c>
    </row>
    <row r="15" customFormat="false" ht="15" hidden="false" customHeight="false" outlineLevel="0" collapsed="false">
      <c r="A15" s="7" t="s">
        <v>64</v>
      </c>
      <c r="B15" s="7" t="s">
        <v>94</v>
      </c>
      <c r="C15" s="7" t="s">
        <v>95</v>
      </c>
      <c r="D15" s="14" t="n">
        <v>3321</v>
      </c>
      <c r="E15" s="12" t="n">
        <v>2870334.87</v>
      </c>
      <c r="F15" s="14" t="n">
        <f aca="false">1+COUNTIFS($A$5:$A$46,A15,$E$5:$E$46,"&gt;"&amp;E15)</f>
        <v>4</v>
      </c>
      <c r="G15" s="19" t="n">
        <f aca="false">E15/SUMIFS($E$5:$E$46,$A$5:$A$46,A15)</f>
        <v>0.143195240329253</v>
      </c>
    </row>
    <row r="16" customFormat="false" ht="15" hidden="false" customHeight="false" outlineLevel="0" collapsed="false">
      <c r="A16" s="7" t="s">
        <v>64</v>
      </c>
      <c r="B16" s="7" t="s">
        <v>96</v>
      </c>
      <c r="C16" s="7" t="s">
        <v>97</v>
      </c>
      <c r="D16" s="14" t="n">
        <v>3236</v>
      </c>
      <c r="E16" s="12" t="n">
        <v>2064076.06</v>
      </c>
      <c r="F16" s="14" t="n">
        <f aca="false">1+COUNTIFS($A$5:$A$46,A16,$E$5:$E$46,"&gt;"&amp;E16)</f>
        <v>5</v>
      </c>
      <c r="G16" s="19" t="n">
        <f aca="false">E16/SUMIFS($E$5:$E$46,$A$5:$A$46,A16)</f>
        <v>0.102972608025195</v>
      </c>
    </row>
    <row r="17" customFormat="false" ht="15" hidden="false" customHeight="false" outlineLevel="0" collapsed="false">
      <c r="A17" s="7" t="s">
        <v>64</v>
      </c>
      <c r="B17" s="7" t="s">
        <v>98</v>
      </c>
      <c r="C17" s="7" t="s">
        <v>99</v>
      </c>
      <c r="D17" s="14" t="n">
        <v>3256</v>
      </c>
      <c r="E17" s="12" t="n">
        <v>1460211.72</v>
      </c>
      <c r="F17" s="14" t="n">
        <f aca="false">1+COUNTIFS($A$5:$A$46,A17,$E$5:$E$46,"&gt;"&amp;E17)</f>
        <v>6</v>
      </c>
      <c r="G17" s="19" t="n">
        <f aca="false">E17/SUMIFS($E$5:$E$46,$A$5:$A$46,A17)</f>
        <v>0.0728470292307713</v>
      </c>
    </row>
    <row r="18" customFormat="false" ht="15" hidden="false" customHeight="false" outlineLevel="0" collapsed="false">
      <c r="A18" s="7" t="s">
        <v>64</v>
      </c>
      <c r="B18" s="7" t="s">
        <v>100</v>
      </c>
      <c r="C18" s="7" t="s">
        <v>101</v>
      </c>
      <c r="D18" s="14" t="n">
        <v>3275</v>
      </c>
      <c r="E18" s="12" t="n">
        <v>840239.15</v>
      </c>
      <c r="F18" s="14" t="n">
        <f aca="false">1+COUNTIFS($A$5:$A$46,A18,$E$5:$E$46,"&gt;"&amp;E18)</f>
        <v>7</v>
      </c>
      <c r="G18" s="19" t="n">
        <f aca="false">E18/SUMIFS($E$5:$E$46,$A$5:$A$46,A18)</f>
        <v>0.0419178432021409</v>
      </c>
    </row>
    <row r="19" customFormat="false" ht="15" hidden="false" customHeight="false" outlineLevel="0" collapsed="false">
      <c r="A19" s="7" t="s">
        <v>61</v>
      </c>
      <c r="B19" s="7" t="s">
        <v>102</v>
      </c>
      <c r="C19" s="7" t="s">
        <v>103</v>
      </c>
      <c r="D19" s="14" t="n">
        <v>3358</v>
      </c>
      <c r="E19" s="12" t="n">
        <v>27394624.84</v>
      </c>
      <c r="F19" s="14" t="n">
        <f aca="false">1+COUNTIFS($A$5:$A$46,A19,$E$5:$E$46,"&gt;"&amp;E19)</f>
        <v>1</v>
      </c>
      <c r="G19" s="19" t="n">
        <f aca="false">E19/SUMIFS($E$5:$E$46,$A$5:$A$46,A19)</f>
        <v>0.200447166413707</v>
      </c>
    </row>
    <row r="20" customFormat="false" ht="15" hidden="false" customHeight="false" outlineLevel="0" collapsed="false">
      <c r="A20" s="7" t="s">
        <v>61</v>
      </c>
      <c r="B20" s="7" t="s">
        <v>104</v>
      </c>
      <c r="C20" s="7" t="s">
        <v>105</v>
      </c>
      <c r="D20" s="14" t="n">
        <v>3320</v>
      </c>
      <c r="E20" s="12" t="n">
        <v>24675567.78</v>
      </c>
      <c r="F20" s="14" t="n">
        <f aca="false">1+COUNTIFS($A$5:$A$46,A20,$E$5:$E$46,"&gt;"&amp;E20)</f>
        <v>2</v>
      </c>
      <c r="G20" s="19" t="n">
        <f aca="false">E20/SUMIFS($E$5:$E$46,$A$5:$A$46,A20)</f>
        <v>0.180551756778515</v>
      </c>
    </row>
    <row r="21" customFormat="false" ht="15" hidden="false" customHeight="false" outlineLevel="0" collapsed="false">
      <c r="A21" s="7" t="s">
        <v>61</v>
      </c>
      <c r="B21" s="7" t="s">
        <v>106</v>
      </c>
      <c r="C21" s="7" t="s">
        <v>107</v>
      </c>
      <c r="D21" s="14" t="n">
        <v>3226</v>
      </c>
      <c r="E21" s="12" t="n">
        <v>23690859</v>
      </c>
      <c r="F21" s="14" t="n">
        <f aca="false">1+COUNTIFS($A$5:$A$46,A21,$E$5:$E$46,"&gt;"&amp;E21)</f>
        <v>3</v>
      </c>
      <c r="G21" s="19" t="n">
        <f aca="false">E21/SUMIFS($E$5:$E$46,$A$5:$A$46,A21)</f>
        <v>0.173346617600793</v>
      </c>
    </row>
    <row r="22" customFormat="false" ht="15" hidden="false" customHeight="false" outlineLevel="0" collapsed="false">
      <c r="A22" s="7" t="s">
        <v>61</v>
      </c>
      <c r="B22" s="7" t="s">
        <v>108</v>
      </c>
      <c r="C22" s="7" t="s">
        <v>109</v>
      </c>
      <c r="D22" s="14" t="n">
        <v>3253</v>
      </c>
      <c r="E22" s="12" t="n">
        <v>22053030.96</v>
      </c>
      <c r="F22" s="14" t="n">
        <f aca="false">1+COUNTIFS($A$5:$A$46,A22,$E$5:$E$46,"&gt;"&amp;E22)</f>
        <v>4</v>
      </c>
      <c r="G22" s="19" t="n">
        <f aca="false">E22/SUMIFS($E$5:$E$46,$A$5:$A$46,A22)</f>
        <v>0.161362588193259</v>
      </c>
    </row>
    <row r="23" customFormat="false" ht="15" hidden="false" customHeight="false" outlineLevel="0" collapsed="false">
      <c r="A23" s="7" t="s">
        <v>61</v>
      </c>
      <c r="B23" s="7" t="s">
        <v>110</v>
      </c>
      <c r="C23" s="7" t="s">
        <v>111</v>
      </c>
      <c r="D23" s="14" t="n">
        <v>3194</v>
      </c>
      <c r="E23" s="12" t="n">
        <v>16966586.12</v>
      </c>
      <c r="F23" s="14" t="n">
        <f aca="false">1+COUNTIFS($A$5:$A$46,A23,$E$5:$E$46,"&gt;"&amp;E23)</f>
        <v>5</v>
      </c>
      <c r="G23" s="19" t="n">
        <f aca="false">E23/SUMIFS($E$5:$E$46,$A$5:$A$46,A23)</f>
        <v>0.1241449419852</v>
      </c>
    </row>
    <row r="24" customFormat="false" ht="15" hidden="false" customHeight="false" outlineLevel="0" collapsed="false">
      <c r="A24" s="7" t="s">
        <v>61</v>
      </c>
      <c r="B24" s="7" t="s">
        <v>112</v>
      </c>
      <c r="C24" s="7" t="s">
        <v>113</v>
      </c>
      <c r="D24" s="14" t="n">
        <v>3405</v>
      </c>
      <c r="E24" s="12" t="n">
        <v>12400189.2</v>
      </c>
      <c r="F24" s="14" t="n">
        <f aca="false">1+COUNTIFS($A$5:$A$46,A24,$E$5:$E$46,"&gt;"&amp;E24)</f>
        <v>6</v>
      </c>
      <c r="G24" s="19" t="n">
        <f aca="false">E24/SUMIFS($E$5:$E$46,$A$5:$A$46,A24)</f>
        <v>0.0907324996290713</v>
      </c>
    </row>
    <row r="25" customFormat="false" ht="15" hidden="false" customHeight="false" outlineLevel="0" collapsed="false">
      <c r="A25" s="7" t="s">
        <v>61</v>
      </c>
      <c r="B25" s="7" t="s">
        <v>114</v>
      </c>
      <c r="C25" s="7" t="s">
        <v>115</v>
      </c>
      <c r="D25" s="14" t="n">
        <v>3254</v>
      </c>
      <c r="E25" s="12" t="n">
        <v>9486700.59</v>
      </c>
      <c r="F25" s="14" t="n">
        <f aca="false">1+COUNTIFS($A$5:$A$46,A25,$E$5:$E$46,"&gt;"&amp;E25)</f>
        <v>7</v>
      </c>
      <c r="G25" s="19" t="n">
        <f aca="false">E25/SUMIFS($E$5:$E$46,$A$5:$A$46,A25)</f>
        <v>0.0694144293994551</v>
      </c>
    </row>
    <row r="26" customFormat="false" ht="15" hidden="false" customHeight="false" outlineLevel="0" collapsed="false">
      <c r="A26" s="7" t="s">
        <v>63</v>
      </c>
      <c r="B26" s="7" t="s">
        <v>116</v>
      </c>
      <c r="C26" s="7" t="s">
        <v>117</v>
      </c>
      <c r="D26" s="14" t="n">
        <v>3247</v>
      </c>
      <c r="E26" s="12" t="n">
        <v>8749604.19</v>
      </c>
      <c r="F26" s="14" t="n">
        <f aca="false">1+COUNTIFS($A$5:$A$46,A26,$E$5:$E$46,"&gt;"&amp;E26)</f>
        <v>1</v>
      </c>
      <c r="G26" s="19" t="n">
        <f aca="false">E26/SUMIFS($E$5:$E$46,$A$5:$A$46,A26)</f>
        <v>0.271018949999804</v>
      </c>
    </row>
    <row r="27" customFormat="false" ht="15" hidden="false" customHeight="false" outlineLevel="0" collapsed="false">
      <c r="A27" s="7" t="s">
        <v>63</v>
      </c>
      <c r="B27" s="7" t="s">
        <v>118</v>
      </c>
      <c r="C27" s="7" t="s">
        <v>119</v>
      </c>
      <c r="D27" s="14" t="n">
        <v>3171</v>
      </c>
      <c r="E27" s="12" t="n">
        <v>5193983.62</v>
      </c>
      <c r="F27" s="14" t="n">
        <f aca="false">1+COUNTIFS($A$5:$A$46,A27,$E$5:$E$46,"&gt;"&amp;E27)</f>
        <v>2</v>
      </c>
      <c r="G27" s="19" t="n">
        <f aca="false">E27/SUMIFS($E$5:$E$46,$A$5:$A$46,A27)</f>
        <v>0.160883619011865</v>
      </c>
    </row>
    <row r="28" customFormat="false" ht="15" hidden="false" customHeight="false" outlineLevel="0" collapsed="false">
      <c r="A28" s="7" t="s">
        <v>63</v>
      </c>
      <c r="B28" s="7" t="s">
        <v>120</v>
      </c>
      <c r="C28" s="7" t="s">
        <v>121</v>
      </c>
      <c r="D28" s="14" t="n">
        <v>3212</v>
      </c>
      <c r="E28" s="12" t="n">
        <v>4903833.3</v>
      </c>
      <c r="F28" s="14" t="n">
        <f aca="false">1+COUNTIFS($A$5:$A$46,A28,$E$5:$E$46,"&gt;"&amp;E28)</f>
        <v>3</v>
      </c>
      <c r="G28" s="19" t="n">
        <f aca="false">E28/SUMIFS($E$5:$E$46,$A$5:$A$46,A28)</f>
        <v>0.151896214169212</v>
      </c>
    </row>
    <row r="29" customFormat="false" ht="15" hidden="false" customHeight="false" outlineLevel="0" collapsed="false">
      <c r="A29" s="7" t="s">
        <v>63</v>
      </c>
      <c r="B29" s="7" t="s">
        <v>122</v>
      </c>
      <c r="C29" s="7" t="s">
        <v>123</v>
      </c>
      <c r="D29" s="14" t="n">
        <v>3178</v>
      </c>
      <c r="E29" s="12" t="n">
        <v>4497357.84</v>
      </c>
      <c r="F29" s="14" t="n">
        <f aca="false">1+COUNTIFS($A$5:$A$46,A29,$E$5:$E$46,"&gt;"&amp;E29)</f>
        <v>4</v>
      </c>
      <c r="G29" s="19" t="n">
        <f aca="false">E29/SUMIFS($E$5:$E$46,$A$5:$A$46,A29)</f>
        <v>0.139305638644002</v>
      </c>
    </row>
    <row r="30" customFormat="false" ht="15" hidden="false" customHeight="false" outlineLevel="0" collapsed="false">
      <c r="A30" s="7" t="s">
        <v>63</v>
      </c>
      <c r="B30" s="7" t="s">
        <v>124</v>
      </c>
      <c r="C30" s="7" t="s">
        <v>125</v>
      </c>
      <c r="D30" s="14" t="n">
        <v>3311</v>
      </c>
      <c r="E30" s="12" t="n">
        <v>3490342.03</v>
      </c>
      <c r="F30" s="14" t="n">
        <f aca="false">1+COUNTIFS($A$5:$A$46,A30,$E$5:$E$46,"&gt;"&amp;E30)</f>
        <v>5</v>
      </c>
      <c r="G30" s="19" t="n">
        <f aca="false">E30/SUMIFS($E$5:$E$46,$A$5:$A$46,A30)</f>
        <v>0.108113328508267</v>
      </c>
    </row>
    <row r="31" customFormat="false" ht="15" hidden="false" customHeight="false" outlineLevel="0" collapsed="false">
      <c r="A31" s="7" t="s">
        <v>63</v>
      </c>
      <c r="B31" s="7" t="s">
        <v>126</v>
      </c>
      <c r="C31" s="7" t="s">
        <v>127</v>
      </c>
      <c r="D31" s="14" t="n">
        <v>3198</v>
      </c>
      <c r="E31" s="12" t="n">
        <v>3251541.7</v>
      </c>
      <c r="F31" s="14" t="n">
        <f aca="false">1+COUNTIFS($A$5:$A$46,A31,$E$5:$E$46,"&gt;"&amp;E31)</f>
        <v>6</v>
      </c>
      <c r="G31" s="19" t="n">
        <f aca="false">E31/SUMIFS($E$5:$E$46,$A$5:$A$46,A31)</f>
        <v>0.10071648937237</v>
      </c>
    </row>
    <row r="32" customFormat="false" ht="15" hidden="false" customHeight="false" outlineLevel="0" collapsed="false">
      <c r="A32" s="7" t="s">
        <v>63</v>
      </c>
      <c r="B32" s="7" t="s">
        <v>128</v>
      </c>
      <c r="C32" s="7" t="s">
        <v>129</v>
      </c>
      <c r="D32" s="14" t="n">
        <v>3254</v>
      </c>
      <c r="E32" s="12" t="n">
        <v>2197442.14</v>
      </c>
      <c r="F32" s="14" t="n">
        <f aca="false">1+COUNTIFS($A$5:$A$46,A32,$E$5:$E$46,"&gt;"&amp;E32)</f>
        <v>7</v>
      </c>
      <c r="G32" s="19" t="n">
        <f aca="false">E32/SUMIFS($E$5:$E$46,$A$5:$A$46,A32)</f>
        <v>0.0680657602944804</v>
      </c>
    </row>
    <row r="33" customFormat="false" ht="15" hidden="false" customHeight="false" outlineLevel="0" collapsed="false">
      <c r="A33" s="7" t="s">
        <v>62</v>
      </c>
      <c r="B33" s="7" t="s">
        <v>130</v>
      </c>
      <c r="C33" s="7" t="s">
        <v>131</v>
      </c>
      <c r="D33" s="14" t="n">
        <v>3259</v>
      </c>
      <c r="E33" s="12" t="n">
        <v>16325261.75</v>
      </c>
      <c r="F33" s="14" t="n">
        <f aca="false">1+COUNTIFS($A$5:$A$46,A33,$E$5:$E$46,"&gt;"&amp;E33)</f>
        <v>1</v>
      </c>
      <c r="G33" s="19" t="n">
        <f aca="false">E33/SUMIFS($E$5:$E$46,$A$5:$A$46,A33)</f>
        <v>0.184714527334357</v>
      </c>
    </row>
    <row r="34" customFormat="false" ht="15" hidden="false" customHeight="false" outlineLevel="0" collapsed="false">
      <c r="A34" s="7" t="s">
        <v>62</v>
      </c>
      <c r="B34" s="7" t="s">
        <v>132</v>
      </c>
      <c r="C34" s="7" t="s">
        <v>133</v>
      </c>
      <c r="D34" s="14" t="n">
        <v>3186</v>
      </c>
      <c r="E34" s="12" t="n">
        <v>15124414.7</v>
      </c>
      <c r="F34" s="14" t="n">
        <f aca="false">1+COUNTIFS($A$5:$A$46,A34,$E$5:$E$46,"&gt;"&amp;E34)</f>
        <v>2</v>
      </c>
      <c r="G34" s="19" t="n">
        <f aca="false">E34/SUMIFS($E$5:$E$46,$A$5:$A$46,A34)</f>
        <v>0.171127370286685</v>
      </c>
    </row>
    <row r="35" customFormat="false" ht="15" hidden="false" customHeight="false" outlineLevel="0" collapsed="false">
      <c r="A35" s="7" t="s">
        <v>62</v>
      </c>
      <c r="B35" s="7" t="s">
        <v>134</v>
      </c>
      <c r="C35" s="7" t="s">
        <v>135</v>
      </c>
      <c r="D35" s="14" t="n">
        <v>3309</v>
      </c>
      <c r="E35" s="12" t="n">
        <v>14917776.01</v>
      </c>
      <c r="F35" s="14" t="n">
        <f aca="false">1+COUNTIFS($A$5:$A$46,A35,$E$5:$E$46,"&gt;"&amp;E35)</f>
        <v>3</v>
      </c>
      <c r="G35" s="19" t="n">
        <f aca="false">E35/SUMIFS($E$5:$E$46,$A$5:$A$46,A35)</f>
        <v>0.168789327041998</v>
      </c>
    </row>
    <row r="36" customFormat="false" ht="15" hidden="false" customHeight="false" outlineLevel="0" collapsed="false">
      <c r="A36" s="7" t="s">
        <v>62</v>
      </c>
      <c r="B36" s="7" t="s">
        <v>136</v>
      </c>
      <c r="C36" s="7" t="s">
        <v>137</v>
      </c>
      <c r="D36" s="14" t="n">
        <v>3260</v>
      </c>
      <c r="E36" s="12" t="n">
        <v>14460807.09</v>
      </c>
      <c r="F36" s="14" t="n">
        <f aca="false">1+COUNTIFS($A$5:$A$46,A36,$E$5:$E$46,"&gt;"&amp;E36)</f>
        <v>4</v>
      </c>
      <c r="G36" s="19" t="n">
        <f aca="false">E36/SUMIFS($E$5:$E$46,$A$5:$A$46,A36)</f>
        <v>0.163618886325218</v>
      </c>
    </row>
    <row r="37" customFormat="false" ht="15" hidden="false" customHeight="false" outlineLevel="0" collapsed="false">
      <c r="A37" s="7" t="s">
        <v>62</v>
      </c>
      <c r="B37" s="7" t="s">
        <v>138</v>
      </c>
      <c r="C37" s="7" t="s">
        <v>139</v>
      </c>
      <c r="D37" s="14" t="n">
        <v>3150</v>
      </c>
      <c r="E37" s="12" t="n">
        <v>11578575.4</v>
      </c>
      <c r="F37" s="14" t="n">
        <f aca="false">1+COUNTIFS($A$5:$A$46,A37,$E$5:$E$46,"&gt;"&amp;E37)</f>
        <v>5</v>
      </c>
      <c r="G37" s="19" t="n">
        <f aca="false">E37/SUMIFS($E$5:$E$46,$A$5:$A$46,A37)</f>
        <v>0.131007460398987</v>
      </c>
    </row>
    <row r="38" customFormat="false" ht="15" hidden="false" customHeight="false" outlineLevel="0" collapsed="false">
      <c r="A38" s="7" t="s">
        <v>62</v>
      </c>
      <c r="B38" s="7" t="s">
        <v>140</v>
      </c>
      <c r="C38" s="7" t="s">
        <v>141</v>
      </c>
      <c r="D38" s="14" t="n">
        <v>3183</v>
      </c>
      <c r="E38" s="12" t="n">
        <v>8228344.37</v>
      </c>
      <c r="F38" s="14" t="n">
        <f aca="false">1+COUNTIFS($A$5:$A$46,A38,$E$5:$E$46,"&gt;"&amp;E38)</f>
        <v>6</v>
      </c>
      <c r="G38" s="19" t="n">
        <f aca="false">E38/SUMIFS($E$5:$E$46,$A$5:$A$46,A38)</f>
        <v>0.093100788478866</v>
      </c>
    </row>
    <row r="39" customFormat="false" ht="15" hidden="false" customHeight="false" outlineLevel="0" collapsed="false">
      <c r="A39" s="7" t="s">
        <v>62</v>
      </c>
      <c r="B39" s="7" t="s">
        <v>142</v>
      </c>
      <c r="C39" s="7" t="s">
        <v>143</v>
      </c>
      <c r="D39" s="14" t="n">
        <v>3134</v>
      </c>
      <c r="E39" s="12" t="n">
        <v>7745859.17</v>
      </c>
      <c r="F39" s="14" t="n">
        <f aca="false">1+COUNTIFS($A$5:$A$46,A39,$E$5:$E$46,"&gt;"&amp;E39)</f>
        <v>7</v>
      </c>
      <c r="G39" s="19" t="n">
        <f aca="false">E39/SUMIFS($E$5:$E$46,$A$5:$A$46,A39)</f>
        <v>0.0876416401338893</v>
      </c>
    </row>
    <row r="40" customFormat="false" ht="15" hidden="false" customHeight="false" outlineLevel="0" collapsed="false">
      <c r="A40" s="7" t="s">
        <v>65</v>
      </c>
      <c r="B40" s="7" t="s">
        <v>144</v>
      </c>
      <c r="C40" s="7" t="s">
        <v>145</v>
      </c>
      <c r="D40" s="14" t="n">
        <v>3189</v>
      </c>
      <c r="E40" s="12" t="n">
        <v>2898705.44</v>
      </c>
      <c r="F40" s="14" t="n">
        <f aca="false">1+COUNTIFS($A$5:$A$46,A40,$E$5:$E$46,"&gt;"&amp;E40)</f>
        <v>1</v>
      </c>
      <c r="G40" s="19" t="n">
        <f aca="false">E40/SUMIFS($E$5:$E$46,$A$5:$A$46,A40)</f>
        <v>0.266527242418084</v>
      </c>
    </row>
    <row r="41" customFormat="false" ht="15" hidden="false" customHeight="false" outlineLevel="0" collapsed="false">
      <c r="A41" s="7" t="s">
        <v>65</v>
      </c>
      <c r="B41" s="7" t="s">
        <v>146</v>
      </c>
      <c r="C41" s="7" t="s">
        <v>147</v>
      </c>
      <c r="D41" s="14" t="n">
        <v>3224</v>
      </c>
      <c r="E41" s="12" t="n">
        <v>2665929.32</v>
      </c>
      <c r="F41" s="14" t="n">
        <f aca="false">1+COUNTIFS($A$5:$A$46,A41,$E$5:$E$46,"&gt;"&amp;E41)</f>
        <v>2</v>
      </c>
      <c r="G41" s="19" t="n">
        <f aca="false">E41/SUMIFS($E$5:$E$46,$A$5:$A$46,A41)</f>
        <v>0.245124178654426</v>
      </c>
    </row>
    <row r="42" customFormat="false" ht="15" hidden="false" customHeight="false" outlineLevel="0" collapsed="false">
      <c r="A42" s="7" t="s">
        <v>65</v>
      </c>
      <c r="B42" s="7" t="s">
        <v>148</v>
      </c>
      <c r="C42" s="7" t="s">
        <v>149</v>
      </c>
      <c r="D42" s="14" t="n">
        <v>3312</v>
      </c>
      <c r="E42" s="12" t="n">
        <v>2050134.02</v>
      </c>
      <c r="F42" s="14" t="n">
        <f aca="false">1+COUNTIFS($A$5:$A$46,A42,$E$5:$E$46,"&gt;"&amp;E42)</f>
        <v>3</v>
      </c>
      <c r="G42" s="19" t="n">
        <f aca="false">E42/SUMIFS($E$5:$E$46,$A$5:$A$46,A42)</f>
        <v>0.188503653871813</v>
      </c>
    </row>
    <row r="43" customFormat="false" ht="15" hidden="false" customHeight="false" outlineLevel="0" collapsed="false">
      <c r="A43" s="7" t="s">
        <v>65</v>
      </c>
      <c r="B43" s="7" t="s">
        <v>150</v>
      </c>
      <c r="C43" s="7" t="s">
        <v>151</v>
      </c>
      <c r="D43" s="14" t="n">
        <v>3567</v>
      </c>
      <c r="E43" s="12" t="n">
        <v>1664847.21</v>
      </c>
      <c r="F43" s="14" t="n">
        <f aca="false">1+COUNTIFS($A$5:$A$46,A43,$E$5:$E$46,"&gt;"&amp;E43)</f>
        <v>4</v>
      </c>
      <c r="G43" s="19" t="n">
        <f aca="false">E43/SUMIFS($E$5:$E$46,$A$5:$A$46,A43)</f>
        <v>0.153077691098113</v>
      </c>
    </row>
    <row r="44" customFormat="false" ht="15" hidden="false" customHeight="false" outlineLevel="0" collapsed="false">
      <c r="A44" s="7" t="s">
        <v>65</v>
      </c>
      <c r="B44" s="7" t="s">
        <v>152</v>
      </c>
      <c r="C44" s="7" t="s">
        <v>153</v>
      </c>
      <c r="D44" s="14" t="n">
        <v>3294</v>
      </c>
      <c r="E44" s="12" t="n">
        <v>811017.54</v>
      </c>
      <c r="F44" s="14" t="n">
        <f aca="false">1+COUNTIFS($A$5:$A$46,A44,$E$5:$E$46,"&gt;"&amp;E44)</f>
        <v>5</v>
      </c>
      <c r="G44" s="19" t="n">
        <f aca="false">E44/SUMIFS($E$5:$E$46,$A$5:$A$46,A44)</f>
        <v>0.0745706222874781</v>
      </c>
    </row>
    <row r="45" customFormat="false" ht="15" hidden="false" customHeight="false" outlineLevel="0" collapsed="false">
      <c r="A45" s="7" t="s">
        <v>65</v>
      </c>
      <c r="B45" s="7" t="s">
        <v>154</v>
      </c>
      <c r="C45" s="7" t="s">
        <v>155</v>
      </c>
      <c r="D45" s="14" t="n">
        <v>3286</v>
      </c>
      <c r="E45" s="12" t="n">
        <v>542160.56</v>
      </c>
      <c r="F45" s="14" t="n">
        <f aca="false">1+COUNTIFS($A$5:$A$46,A45,$E$5:$E$46,"&gt;"&amp;E45)</f>
        <v>6</v>
      </c>
      <c r="G45" s="19" t="n">
        <f aca="false">E45/SUMIFS($E$5:$E$46,$A$5:$A$46,A45)</f>
        <v>0.0498500320214131</v>
      </c>
    </row>
    <row r="46" customFormat="false" ht="15" hidden="false" customHeight="false" outlineLevel="0" collapsed="false">
      <c r="A46" s="7" t="s">
        <v>65</v>
      </c>
      <c r="B46" s="7" t="s">
        <v>156</v>
      </c>
      <c r="C46" s="7" t="s">
        <v>157</v>
      </c>
      <c r="D46" s="14" t="n">
        <v>3241</v>
      </c>
      <c r="E46" s="12" t="n">
        <v>243037.64</v>
      </c>
      <c r="F46" s="14" t="n">
        <f aca="false">1+COUNTIFS($A$5:$A$46,A46,$E$5:$E$46,"&gt;"&amp;E46)</f>
        <v>7</v>
      </c>
      <c r="G46" s="19" t="n">
        <f aca="false">E46/SUMIFS($E$5:$E$46,$A$5:$A$46,A46)</f>
        <v>0.0223465796486721</v>
      </c>
    </row>
    <row r="47" customFormat="false" ht="15" hidden="false" customHeight="false" outlineLevel="0" collapsed="false">
      <c r="A47" s="16" t="s">
        <v>55</v>
      </c>
      <c r="B47" s="16"/>
      <c r="C47" s="16"/>
      <c r="D47" s="18" t="n">
        <f aca="false">SUM(D5:D46)</f>
        <v>137122</v>
      </c>
      <c r="E47" s="17" t="n">
        <f aca="false">SUM(E5:E46)</f>
        <v>291565539.56</v>
      </c>
      <c r="F47" s="16"/>
      <c r="G47" s="16"/>
    </row>
  </sheetData>
  <autoFilter ref="A4:G4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7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30" hidden="false" customHeight="true" outlineLevel="0" collapsed="false">
      <c r="A4" s="4" t="s">
        <v>160</v>
      </c>
      <c r="B4" s="5" t="s">
        <v>14</v>
      </c>
      <c r="C4" s="5" t="s">
        <v>8</v>
      </c>
      <c r="D4" s="5" t="s">
        <v>51</v>
      </c>
      <c r="E4" s="5" t="s">
        <v>53</v>
      </c>
      <c r="F4" s="5" t="s">
        <v>60</v>
      </c>
    </row>
    <row r="5" customFormat="false" ht="15" hidden="false" customHeight="false" outlineLevel="0" collapsed="false">
      <c r="A5" s="7" t="s">
        <v>161</v>
      </c>
      <c r="B5" s="14" t="n">
        <v>1328</v>
      </c>
      <c r="C5" s="14" t="n">
        <v>10906</v>
      </c>
      <c r="D5" s="12" t="n">
        <v>74634707.59</v>
      </c>
      <c r="E5" s="12" t="n">
        <f aca="false">D5/C5</f>
        <v>6843.45384100495</v>
      </c>
      <c r="F5" s="19" t="n">
        <f aca="false">D5/SUM($D$5:$D$10)</f>
        <v>0.25597917951014</v>
      </c>
    </row>
    <row r="6" customFormat="false" ht="15" hidden="false" customHeight="false" outlineLevel="0" collapsed="false">
      <c r="A6" s="7" t="s">
        <v>162</v>
      </c>
      <c r="B6" s="14" t="n">
        <v>999</v>
      </c>
      <c r="C6" s="14" t="n">
        <v>8558</v>
      </c>
      <c r="D6" s="12" t="n">
        <v>58971030.59</v>
      </c>
      <c r="E6" s="12" t="n">
        <f aca="false">D6/C6</f>
        <v>6890.74907571863</v>
      </c>
      <c r="F6" s="19" t="n">
        <f aca="false">D6/SUM($D$5:$D$10)</f>
        <v>0.202256517279075</v>
      </c>
    </row>
    <row r="7" customFormat="false" ht="15" hidden="false" customHeight="false" outlineLevel="0" collapsed="false">
      <c r="A7" s="7" t="s">
        <v>163</v>
      </c>
      <c r="B7" s="14" t="n">
        <v>663</v>
      </c>
      <c r="C7" s="14" t="n">
        <v>6075</v>
      </c>
      <c r="D7" s="12" t="n">
        <v>41779875.02</v>
      </c>
      <c r="E7" s="12" t="n">
        <f aca="false">D7/C7</f>
        <v>6877.34568230453</v>
      </c>
      <c r="F7" s="19" t="n">
        <f aca="false">D7/SUM($D$5:$D$10)</f>
        <v>0.14329496923076</v>
      </c>
    </row>
    <row r="8" customFormat="false" ht="15" hidden="false" customHeight="false" outlineLevel="0" collapsed="false">
      <c r="A8" s="7" t="s">
        <v>164</v>
      </c>
      <c r="B8" s="14" t="n">
        <v>666</v>
      </c>
      <c r="C8" s="14" t="n">
        <v>5749</v>
      </c>
      <c r="D8" s="12" t="n">
        <v>40009973.33</v>
      </c>
      <c r="E8" s="12" t="n">
        <f aca="false">D8/C8</f>
        <v>6959.4665733171</v>
      </c>
      <c r="F8" s="19" t="n">
        <f aca="false">D8/SUM($D$5:$D$10)</f>
        <v>0.137224630147921</v>
      </c>
    </row>
    <row r="9" customFormat="false" ht="15" hidden="false" customHeight="false" outlineLevel="0" collapsed="false">
      <c r="A9" s="7" t="s">
        <v>165</v>
      </c>
      <c r="B9" s="14" t="n">
        <v>665</v>
      </c>
      <c r="C9" s="14" t="n">
        <v>5523</v>
      </c>
      <c r="D9" s="12" t="n">
        <v>38814880.94</v>
      </c>
      <c r="E9" s="12" t="n">
        <f aca="false">D9/C9</f>
        <v>7027.86183957994</v>
      </c>
      <c r="F9" s="19" t="n">
        <f aca="false">D9/SUM($D$5:$D$10)</f>
        <v>0.133125749354932</v>
      </c>
    </row>
    <row r="10" customFormat="false" ht="15" hidden="false" customHeight="false" outlineLevel="0" collapsed="false">
      <c r="A10" s="7" t="s">
        <v>166</v>
      </c>
      <c r="B10" s="14" t="n">
        <v>665</v>
      </c>
      <c r="C10" s="14" t="n">
        <v>5474</v>
      </c>
      <c r="D10" s="12" t="n">
        <v>37355072.09</v>
      </c>
      <c r="E10" s="12" t="n">
        <f aca="false">D10/C10</f>
        <v>6824.09062659847</v>
      </c>
      <c r="F10" s="19" t="n">
        <f aca="false">D10/SUM($D$5:$D$10)</f>
        <v>0.128118954477173</v>
      </c>
    </row>
    <row r="11" customFormat="false" ht="15" hidden="false" customHeight="false" outlineLevel="0" collapsed="false">
      <c r="A11" s="16" t="s">
        <v>55</v>
      </c>
      <c r="B11" s="18" t="n">
        <f aca="false">SUM(B5:B10)</f>
        <v>4986</v>
      </c>
      <c r="C11" s="18" t="n">
        <f aca="false">SUM(C5:C10)</f>
        <v>42285</v>
      </c>
      <c r="D11" s="17" t="n">
        <f aca="false">SUM(D5:D10)</f>
        <v>291565539.56</v>
      </c>
      <c r="E11" s="17" t="n">
        <f aca="false">D11/C11</f>
        <v>6895.24747688306</v>
      </c>
      <c r="F11" s="20" t="n">
        <f aca="false">SUM(F5:F10)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6" min="5" style="0" width="16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" t="s">
        <v>167</v>
      </c>
    </row>
    <row r="2" customFormat="false" ht="15" hidden="false" customHeight="false" outlineLevel="0" collapsed="false">
      <c r="A2" s="2" t="s">
        <v>168</v>
      </c>
    </row>
    <row r="4" customFormat="false" ht="30" hidden="false" customHeight="true" outlineLevel="0" collapsed="false">
      <c r="A4" s="4" t="s">
        <v>169</v>
      </c>
      <c r="B4" s="5" t="s">
        <v>14</v>
      </c>
      <c r="C4" s="5" t="s">
        <v>8</v>
      </c>
      <c r="D4" s="5" t="s">
        <v>51</v>
      </c>
      <c r="E4" s="5" t="s">
        <v>170</v>
      </c>
      <c r="F4" s="5" t="s">
        <v>60</v>
      </c>
      <c r="G4" s="5" t="s">
        <v>171</v>
      </c>
    </row>
    <row r="5" customFormat="false" ht="15" hidden="false" customHeight="false" outlineLevel="0" collapsed="false">
      <c r="A5" s="7" t="s">
        <v>172</v>
      </c>
      <c r="B5" s="14" t="n">
        <v>103</v>
      </c>
      <c r="C5" s="14" t="n">
        <v>103</v>
      </c>
      <c r="D5" s="12" t="n">
        <v>713465.7</v>
      </c>
      <c r="E5" s="19" t="n">
        <f aca="false">B5/SUM($B$5:$B$7)</f>
        <v>0.0206578419574809</v>
      </c>
      <c r="F5" s="19" t="n">
        <f aca="false">D5/SUM($D$5:$D$7)</f>
        <v>0.00244701654755458</v>
      </c>
      <c r="G5" s="12" t="n">
        <f aca="false">D5/B5</f>
        <v>6926.85145631068</v>
      </c>
    </row>
    <row r="6" customFormat="false" ht="15" hidden="false" customHeight="false" outlineLevel="0" collapsed="false">
      <c r="A6" s="7" t="s">
        <v>173</v>
      </c>
      <c r="B6" s="14" t="n">
        <v>1851</v>
      </c>
      <c r="C6" s="14" t="n">
        <v>7104</v>
      </c>
      <c r="D6" s="12" t="n">
        <v>48976702.94</v>
      </c>
      <c r="E6" s="19" t="n">
        <f aca="false">B6/SUM($B$5:$B$7)</f>
        <v>0.371239470517449</v>
      </c>
      <c r="F6" s="19" t="n">
        <f aca="false">D6/SUM($D$5:$D$7)</f>
        <v>0.167978366078208</v>
      </c>
      <c r="G6" s="12" t="n">
        <f aca="false">D6/B6</f>
        <v>26459.5909994598</v>
      </c>
    </row>
    <row r="7" customFormat="false" ht="15" hidden="false" customHeight="false" outlineLevel="0" collapsed="false">
      <c r="A7" s="7" t="s">
        <v>174</v>
      </c>
      <c r="B7" s="14" t="n">
        <v>3032</v>
      </c>
      <c r="C7" s="14" t="n">
        <v>35078</v>
      </c>
      <c r="D7" s="12" t="n">
        <v>241875370.92</v>
      </c>
      <c r="E7" s="19" t="n">
        <f aca="false">B7/SUM($B$5:$B$7)</f>
        <v>0.60810268752507</v>
      </c>
      <c r="F7" s="19" t="n">
        <f aca="false">D7/SUM($D$5:$D$7)</f>
        <v>0.829574617374237</v>
      </c>
      <c r="G7" s="12" t="n">
        <f aca="false">D7/B7</f>
        <v>79774.1988522427</v>
      </c>
    </row>
    <row r="8" customFormat="false" ht="15" hidden="false" customHeight="false" outlineLevel="0" collapsed="false">
      <c r="A8" s="16" t="s">
        <v>55</v>
      </c>
      <c r="B8" s="18" t="n">
        <f aca="false">SUM(B5:B7)</f>
        <v>4986</v>
      </c>
      <c r="C8" s="18" t="n">
        <f aca="false">SUM(C5:C7)</f>
        <v>42285</v>
      </c>
      <c r="D8" s="17" t="n">
        <f aca="false">SUM(D5:D7)</f>
        <v>291565539.56</v>
      </c>
      <c r="E8" s="20" t="n">
        <f aca="false">SUM(E5:E7)</f>
        <v>1</v>
      </c>
      <c r="F8" s="20" t="n">
        <f aca="false">SUM(F5:F7)</f>
        <v>1</v>
      </c>
      <c r="G8" s="17" t="n">
        <f aca="false">D8/B8</f>
        <v>58476.8430726033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3" t="s">
        <v>177</v>
      </c>
    </row>
    <row r="5" customFormat="false" ht="30" hidden="false" customHeight="true" outlineLevel="0" collapsed="false">
      <c r="A5" s="4" t="s">
        <v>3</v>
      </c>
      <c r="B5" s="5" t="s">
        <v>178</v>
      </c>
    </row>
    <row r="6" customFormat="false" ht="15" hidden="false" customHeight="false" outlineLevel="0" collapsed="false">
      <c r="A6" s="7" t="s">
        <v>179</v>
      </c>
      <c r="B6" s="14" t="n">
        <v>102581</v>
      </c>
    </row>
    <row r="7" customFormat="false" ht="15" hidden="false" customHeight="false" outlineLevel="0" collapsed="false">
      <c r="A7" s="7" t="s">
        <v>180</v>
      </c>
      <c r="B7" s="14" t="n">
        <v>100533</v>
      </c>
    </row>
    <row r="8" customFormat="false" ht="15" hidden="false" customHeight="false" outlineLevel="0" collapsed="false">
      <c r="A8" s="7" t="s">
        <v>181</v>
      </c>
      <c r="B8" s="14" t="n">
        <f aca="false">B36</f>
        <v>2048</v>
      </c>
    </row>
    <row r="9" customFormat="false" ht="15" hidden="false" customHeight="false" outlineLevel="0" collapsed="false">
      <c r="A9" s="21" t="s">
        <v>182</v>
      </c>
      <c r="B9" s="10" t="n">
        <f aca="false">B6-B7-B8</f>
        <v>0</v>
      </c>
    </row>
    <row r="11" customFormat="false" ht="15" hidden="false" customHeight="false" outlineLevel="0" collapsed="false">
      <c r="A11" s="3" t="s">
        <v>183</v>
      </c>
    </row>
    <row r="12" customFormat="false" ht="30" hidden="false" customHeight="true" outlineLevel="0" collapsed="false">
      <c r="A12" s="4" t="s">
        <v>184</v>
      </c>
      <c r="B12" s="5" t="s">
        <v>185</v>
      </c>
      <c r="C12" s="5" t="s">
        <v>186</v>
      </c>
    </row>
    <row r="13" customFormat="false" ht="15" hidden="false" customHeight="false" outlineLevel="0" collapsed="false">
      <c r="A13" s="7" t="s">
        <v>187</v>
      </c>
      <c r="B13" s="14" t="n">
        <v>1221</v>
      </c>
      <c r="C13" s="19" t="n">
        <f aca="false">B13/$B$6</f>
        <v>0.0119027890155097</v>
      </c>
    </row>
    <row r="14" customFormat="false" ht="15" hidden="false" customHeight="false" outlineLevel="0" collapsed="false">
      <c r="A14" s="7" t="s">
        <v>188</v>
      </c>
      <c r="B14" s="14" t="n">
        <v>485</v>
      </c>
      <c r="C14" s="19" t="n">
        <f aca="false">B14/$B$6</f>
        <v>0.00472797106676675</v>
      </c>
    </row>
    <row r="15" customFormat="false" ht="15" hidden="false" customHeight="false" outlineLevel="0" collapsed="false">
      <c r="A15" s="7" t="s">
        <v>189</v>
      </c>
      <c r="B15" s="14" t="n">
        <v>5184</v>
      </c>
      <c r="C15" s="19" t="n">
        <f aca="false">B15/$B$6</f>
        <v>0.0505356742476677</v>
      </c>
    </row>
    <row r="16" customFormat="false" ht="15" hidden="false" customHeight="false" outlineLevel="0" collapsed="false">
      <c r="A16" s="7" t="s">
        <v>190</v>
      </c>
      <c r="B16" s="14" t="n">
        <v>10926</v>
      </c>
      <c r="C16" s="19" t="n">
        <f aca="false">B16/$B$6</f>
        <v>0.106510952320605</v>
      </c>
    </row>
    <row r="17" customFormat="false" ht="15" hidden="false" customHeight="false" outlineLevel="0" collapsed="false">
      <c r="A17" s="7" t="s">
        <v>191</v>
      </c>
      <c r="B17" s="14" t="n">
        <v>6558</v>
      </c>
      <c r="C17" s="19" t="n">
        <f aca="false">B17/$B$6</f>
        <v>0.0639299675378482</v>
      </c>
    </row>
    <row r="18" customFormat="false" ht="15" hidden="false" customHeight="false" outlineLevel="0" collapsed="false">
      <c r="A18" s="7" t="s">
        <v>192</v>
      </c>
      <c r="B18" s="14" t="n">
        <v>11056</v>
      </c>
      <c r="C18" s="19" t="n">
        <f aca="false">B18/$B$6</f>
        <v>0.107778243534378</v>
      </c>
    </row>
    <row r="19" customFormat="false" ht="15" hidden="false" customHeight="false" outlineLevel="0" collapsed="false">
      <c r="A19" s="7" t="s">
        <v>193</v>
      </c>
      <c r="B19" s="14" t="n">
        <v>0</v>
      </c>
      <c r="C19" s="19" t="n">
        <f aca="false">B19/$B$6</f>
        <v>0</v>
      </c>
    </row>
    <row r="20" customFormat="false" ht="15" hidden="false" customHeight="false" outlineLevel="0" collapsed="false">
      <c r="A20" s="7" t="s">
        <v>194</v>
      </c>
      <c r="B20" s="14" t="n">
        <v>5488</v>
      </c>
      <c r="C20" s="19" t="n">
        <f aca="false">B20/$B$6</f>
        <v>0.053499186009105</v>
      </c>
    </row>
    <row r="21" customFormat="false" ht="15" hidden="false" customHeight="false" outlineLevel="0" collapsed="false">
      <c r="A21" s="7" t="s">
        <v>195</v>
      </c>
      <c r="B21" s="14" t="n">
        <v>24</v>
      </c>
      <c r="C21" s="19" t="n">
        <f aca="false">B21/$B$6</f>
        <v>0.000233961454850313</v>
      </c>
    </row>
    <row r="22" customFormat="false" ht="15" hidden="false" customHeight="false" outlineLevel="0" collapsed="false">
      <c r="A22" s="7" t="s">
        <v>196</v>
      </c>
      <c r="B22" s="14" t="n">
        <v>4133</v>
      </c>
      <c r="C22" s="19" t="n">
        <f aca="false">B22/$B$6</f>
        <v>0.0402901122040144</v>
      </c>
    </row>
    <row r="23" customFormat="false" ht="15" hidden="false" customHeight="false" outlineLevel="0" collapsed="false">
      <c r="A23" s="7" t="s">
        <v>197</v>
      </c>
      <c r="B23" s="14" t="n">
        <v>478</v>
      </c>
      <c r="C23" s="19" t="n">
        <f aca="false">B23/$B$6</f>
        <v>0.00465973230910208</v>
      </c>
    </row>
    <row r="24" customFormat="false" ht="15" hidden="false" customHeight="false" outlineLevel="0" collapsed="false">
      <c r="A24" s="7" t="s">
        <v>198</v>
      </c>
      <c r="B24" s="14" t="n">
        <v>210</v>
      </c>
      <c r="C24" s="19" t="n">
        <f aca="false">B24/$B$6</f>
        <v>0.00204716272994024</v>
      </c>
    </row>
    <row r="25" customFormat="false" ht="15" hidden="false" customHeight="false" outlineLevel="0" collapsed="false">
      <c r="A25" s="7" t="s">
        <v>199</v>
      </c>
      <c r="B25" s="14" t="n">
        <v>3917</v>
      </c>
      <c r="C25" s="19" t="n">
        <f aca="false">B25/$B$6</f>
        <v>0.0381844591103616</v>
      </c>
    </row>
    <row r="26" customFormat="false" ht="15" hidden="false" customHeight="false" outlineLevel="0" collapsed="false">
      <c r="A26" s="7" t="s">
        <v>200</v>
      </c>
      <c r="B26" s="14" t="n">
        <v>1404</v>
      </c>
      <c r="C26" s="19" t="n">
        <f aca="false">B26/$B$6</f>
        <v>0.0136867451087433</v>
      </c>
    </row>
    <row r="27" customFormat="false" ht="15" hidden="false" customHeight="false" outlineLevel="0" collapsed="false">
      <c r="A27" s="2" t="s">
        <v>201</v>
      </c>
    </row>
    <row r="29" customFormat="false" ht="15" hidden="false" customHeight="false" outlineLevel="0" collapsed="false">
      <c r="A29" s="3" t="s">
        <v>202</v>
      </c>
    </row>
    <row r="30" customFormat="false" ht="30" hidden="false" customHeight="true" outlineLevel="0" collapsed="false">
      <c r="A30" s="4" t="s">
        <v>203</v>
      </c>
      <c r="B30" s="5" t="s">
        <v>178</v>
      </c>
      <c r="C30" s="5" t="s">
        <v>186</v>
      </c>
    </row>
    <row r="31" customFormat="false" ht="15" hidden="false" customHeight="false" outlineLevel="0" collapsed="false">
      <c r="A31" s="7" t="s">
        <v>204</v>
      </c>
      <c r="B31" s="14" t="n">
        <v>1221</v>
      </c>
      <c r="C31" s="19" t="n">
        <f aca="false">B31/$B$6</f>
        <v>0.0119027890155097</v>
      </c>
    </row>
    <row r="32" customFormat="false" ht="15" hidden="false" customHeight="false" outlineLevel="0" collapsed="false">
      <c r="A32" s="7" t="s">
        <v>197</v>
      </c>
      <c r="B32" s="14" t="n">
        <v>474</v>
      </c>
      <c r="C32" s="19" t="n">
        <f aca="false">B32/$B$6</f>
        <v>0.00462073873329369</v>
      </c>
    </row>
    <row r="33" customFormat="false" ht="15" hidden="false" customHeight="false" outlineLevel="0" collapsed="false">
      <c r="A33" s="7" t="s">
        <v>198</v>
      </c>
      <c r="B33" s="14" t="n">
        <v>208</v>
      </c>
      <c r="C33" s="19" t="n">
        <f aca="false">B33/$B$6</f>
        <v>0.00202766594203605</v>
      </c>
    </row>
    <row r="34" customFormat="false" ht="15" hidden="false" customHeight="false" outlineLevel="0" collapsed="false">
      <c r="A34" s="7" t="s">
        <v>205</v>
      </c>
      <c r="B34" s="14" t="n">
        <v>121</v>
      </c>
      <c r="C34" s="19" t="n">
        <f aca="false">B34/$B$6</f>
        <v>0.00117955566820366</v>
      </c>
    </row>
    <row r="35" customFormat="false" ht="15" hidden="false" customHeight="false" outlineLevel="0" collapsed="false">
      <c r="A35" s="7" t="s">
        <v>195</v>
      </c>
      <c r="B35" s="14" t="n">
        <v>24</v>
      </c>
      <c r="C35" s="19" t="n">
        <f aca="false">B35/$B$6</f>
        <v>0.000233961454850313</v>
      </c>
    </row>
    <row r="36" customFormat="false" ht="15" hidden="false" customHeight="false" outlineLevel="0" collapsed="false">
      <c r="A36" s="16" t="s">
        <v>206</v>
      </c>
      <c r="B36" s="18" t="n">
        <f aca="false">SUM(B31:B35)</f>
        <v>2048</v>
      </c>
      <c r="C36" s="20" t="n">
        <f aca="false">B36/$B$6</f>
        <v>0.0199647108138934</v>
      </c>
    </row>
    <row r="38" customFormat="false" ht="15" hidden="false" customHeight="false" outlineLevel="0" collapsed="false">
      <c r="A38" s="3" t="s">
        <v>207</v>
      </c>
    </row>
    <row r="39" customFormat="false" ht="30" hidden="false" customHeight="true" outlineLevel="0" collapsed="false">
      <c r="A39" s="4" t="s">
        <v>208</v>
      </c>
      <c r="B39" s="5" t="s">
        <v>209</v>
      </c>
      <c r="C39" s="6" t="s">
        <v>210</v>
      </c>
    </row>
    <row r="40" customFormat="false" ht="15" hidden="false" customHeight="false" outlineLevel="0" collapsed="false">
      <c r="A40" s="7" t="s">
        <v>211</v>
      </c>
      <c r="B40" s="14" t="n">
        <v>10823</v>
      </c>
      <c r="C40" s="22" t="s">
        <v>212</v>
      </c>
    </row>
    <row r="41" customFormat="false" ht="15" hidden="false" customHeight="false" outlineLevel="0" collapsed="false">
      <c r="A41" s="7" t="s">
        <v>213</v>
      </c>
      <c r="B41" s="14" t="n">
        <v>10712</v>
      </c>
      <c r="C41" s="22" t="s">
        <v>214</v>
      </c>
    </row>
    <row r="42" customFormat="false" ht="15" hidden="false" customHeight="false" outlineLevel="0" collapsed="false">
      <c r="A42" s="7" t="s">
        <v>215</v>
      </c>
      <c r="B42" s="14" t="n">
        <v>5369</v>
      </c>
      <c r="C42" s="22" t="s">
        <v>216</v>
      </c>
    </row>
    <row r="43" customFormat="false" ht="15" hidden="false" customHeight="false" outlineLevel="0" collapsed="false">
      <c r="A43" s="7" t="s">
        <v>217</v>
      </c>
      <c r="B43" s="14" t="n">
        <v>5091</v>
      </c>
      <c r="C43" s="22" t="s">
        <v>218</v>
      </c>
    </row>
    <row r="44" customFormat="false" ht="15" hidden="false" customHeight="false" outlineLevel="0" collapsed="false">
      <c r="A44" s="7" t="s">
        <v>219</v>
      </c>
      <c r="B44" s="14" t="n">
        <v>4055</v>
      </c>
      <c r="C44" s="22" t="s">
        <v>220</v>
      </c>
    </row>
    <row r="45" customFormat="false" ht="15" hidden="false" customHeight="false" outlineLevel="0" collapsed="false">
      <c r="A45" s="7" t="s">
        <v>221</v>
      </c>
      <c r="B45" s="14" t="n">
        <v>3848</v>
      </c>
      <c r="C45" s="22" t="s">
        <v>222</v>
      </c>
    </row>
    <row r="46" customFormat="false" ht="15" hidden="false" customHeight="false" outlineLevel="0" collapsed="false">
      <c r="A46" s="7" t="s">
        <v>223</v>
      </c>
      <c r="B46" s="14" t="n">
        <v>1618</v>
      </c>
      <c r="C46" s="22" t="s">
        <v>224</v>
      </c>
    </row>
    <row r="47" customFormat="false" ht="15" hidden="false" customHeight="false" outlineLevel="0" collapsed="false">
      <c r="A47" s="7" t="s">
        <v>225</v>
      </c>
      <c r="B47" s="14" t="n">
        <v>1379</v>
      </c>
      <c r="C47" s="22" t="s">
        <v>226</v>
      </c>
    </row>
    <row r="48" customFormat="false" ht="15" hidden="false" customHeight="false" outlineLevel="0" collapsed="false">
      <c r="A48" s="7" t="s">
        <v>217</v>
      </c>
      <c r="B48" s="14" t="n">
        <v>358</v>
      </c>
      <c r="C48" s="22" t="s">
        <v>227</v>
      </c>
    </row>
    <row r="49" customFormat="false" ht="15" hidden="false" customHeight="false" outlineLevel="0" collapsed="false">
      <c r="A49" s="16" t="s">
        <v>228</v>
      </c>
      <c r="B49" s="18" t="n">
        <f aca="false">SUM(B40:B48)</f>
        <v>43253</v>
      </c>
      <c r="C49" s="16"/>
    </row>
    <row r="51" customFormat="false" ht="15" hidden="false" customHeight="false" outlineLevel="0" collapsed="false">
      <c r="A51" s="3" t="s">
        <v>229</v>
      </c>
    </row>
    <row r="52" customFormat="false" ht="30" hidden="false" customHeight="true" outlineLevel="0" collapsed="false">
      <c r="A52" s="4" t="s">
        <v>184</v>
      </c>
      <c r="B52" s="5" t="s">
        <v>230</v>
      </c>
      <c r="C52" s="5" t="s">
        <v>231</v>
      </c>
    </row>
    <row r="53" customFormat="false" ht="15" hidden="false" customHeight="false" outlineLevel="0" collapsed="false">
      <c r="A53" s="7" t="s">
        <v>232</v>
      </c>
      <c r="B53" s="14" t="n">
        <v>0</v>
      </c>
      <c r="C53" s="23" t="str">
        <f aca="false">IF(B53=0,"PASS","FAIL")</f>
        <v>PASS</v>
      </c>
    </row>
    <row r="54" customFormat="false" ht="15" hidden="false" customHeight="false" outlineLevel="0" collapsed="false">
      <c r="A54" s="7" t="s">
        <v>233</v>
      </c>
      <c r="B54" s="14" t="n">
        <v>0</v>
      </c>
      <c r="C54" s="23" t="str">
        <f aca="false">IF(B54=0,"PASS","FAIL")</f>
        <v>PASS</v>
      </c>
    </row>
    <row r="55" customFormat="false" ht="15" hidden="false" customHeight="false" outlineLevel="0" collapsed="false">
      <c r="A55" s="7" t="s">
        <v>234</v>
      </c>
      <c r="B55" s="14" t="n">
        <v>0</v>
      </c>
      <c r="C55" s="23" t="str">
        <f aca="false">IF(B55=0,"PASS","FAIL")</f>
        <v>PASS</v>
      </c>
    </row>
    <row r="56" customFormat="false" ht="15" hidden="false" customHeight="false" outlineLevel="0" collapsed="false">
      <c r="A56" s="7" t="s">
        <v>235</v>
      </c>
      <c r="B56" s="14" t="n">
        <v>0</v>
      </c>
      <c r="C56" s="23" t="str">
        <f aca="false">IF(B56=0,"PASS","FAIL")</f>
        <v>PASS</v>
      </c>
    </row>
    <row r="57" customFormat="false" ht="15" hidden="false" customHeight="false" outlineLevel="0" collapsed="false">
      <c r="A57" s="7" t="s">
        <v>236</v>
      </c>
      <c r="B57" s="14" t="n">
        <v>0</v>
      </c>
      <c r="C57" s="23" t="str">
        <f aca="false">IF(B57=0,"PASS","FAIL")</f>
        <v>PASS</v>
      </c>
    </row>
    <row r="58" customFormat="false" ht="15" hidden="false" customHeight="false" outlineLevel="0" collapsed="false">
      <c r="A58" s="7" t="s">
        <v>237</v>
      </c>
      <c r="B58" s="14" t="n">
        <v>0</v>
      </c>
      <c r="C58" s="23" t="str">
        <f aca="false">IF(B58=0,"PASS","FAIL")</f>
        <v>PASS</v>
      </c>
    </row>
    <row r="59" customFormat="false" ht="15" hidden="false" customHeight="false" outlineLevel="0" collapsed="false">
      <c r="A59" s="7" t="s">
        <v>238</v>
      </c>
      <c r="B59" s="14" t="n">
        <v>0</v>
      </c>
      <c r="C59" s="23" t="str">
        <f aca="false">IF(B59=0,"PASS","FAIL")</f>
        <v>PASS</v>
      </c>
    </row>
    <row r="60" customFormat="false" ht="15" hidden="false" customHeight="false" outlineLevel="0" collapsed="false">
      <c r="A60" s="7" t="s">
        <v>239</v>
      </c>
      <c r="B60" s="14" t="n">
        <v>0</v>
      </c>
      <c r="C60" s="23" t="str">
        <f aca="false">IF(B60=0,"PASS","FAIL")</f>
        <v>PASS</v>
      </c>
    </row>
    <row r="61" customFormat="false" ht="15" hidden="false" customHeight="false" outlineLevel="0" collapsed="false">
      <c r="A61" s="7" t="s">
        <v>240</v>
      </c>
      <c r="B61" s="14" t="n">
        <v>0</v>
      </c>
      <c r="C61" s="23" t="str">
        <f aca="false">IF(B61=0,"PASS","FAIL")</f>
        <v>PASS</v>
      </c>
    </row>
    <row r="62" customFormat="false" ht="15" hidden="false" customHeight="false" outlineLevel="0" collapsed="false">
      <c r="A62" s="7" t="s">
        <v>241</v>
      </c>
      <c r="B62" s="14" t="n">
        <v>0</v>
      </c>
      <c r="C62" s="23" t="str">
        <f aca="false">IF(B62=0,"PASS","FAIL")</f>
        <v>PASS</v>
      </c>
    </row>
    <row r="63" customFormat="false" ht="15" hidden="false" customHeight="false" outlineLevel="0" collapsed="false">
      <c r="A63" s="7" t="s">
        <v>242</v>
      </c>
      <c r="B63" s="14" t="n">
        <v>0</v>
      </c>
      <c r="C63" s="23" t="str">
        <f aca="false">IF(B63=0,"PASS","FAIL")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2026-10-06T19:06:49Z</dcterms:created>
  <dc:creator>openpyxl</dc:creator>
  <dc:description/>
  <dc:language>en-US</dc:language>
  <cp:lastModifiedBy/>
  <dcterms:modified xsi:type="dcterms:W3CDTF">2026-10-06T21:06:51Z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